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9a2cb1741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43334d654224a8e"/>
    <x:sheet xmlns:r="http://schemas.openxmlformats.org/officeDocument/2006/relationships" name="Sound Effects Spreadsheet" sheetId="2" r:id="R568b973dae59499f"/>
    <x:sheet xmlns:r="http://schemas.openxmlformats.org/officeDocument/2006/relationships" name="Status Effects" sheetId="3" r:id="R132a9ba777724d0f"/>
    <x:sheet xmlns:r="http://schemas.openxmlformats.org/officeDocument/2006/relationships" name="Milestones" sheetId="4" r:id="Rbbe68f56ebff4bc0"/>
    <x:sheet xmlns:r="http://schemas.openxmlformats.org/officeDocument/2006/relationships" name="QA log" sheetId="5" r:id="R829866736ca94dc7"/>
  </x:sheets>
  <x:definedNames>
    <x:definedName name="Z_318FA276_F213_43F8_82C7_04FE1075692C_.wvu.FilterData" localSheetId="2" hidden="1">'Status Effects'!$A$4:$H$51</x:definedName>
    <x:definedName name="Z_AE6FB704_A3B1_4AE5_9F3F_D47B35D6E8CE_.wvu.FilterData" localSheetId="3" hidden="1">Milestones!$A$4:$J$7</x:definedName>
    <x:definedName name="Z_A217AFDF_8697_4368_AD35_3976B0035F4A_.wvu.FilterData" localSheetId="1" hidden="1">'Sound Effects Spreadsheet'!$A$4:$T$34</x:definedName>
    <x:definedName name="Z_7D7EFB9B_370A_40C5_BB1F_319F723D029C_.wvu.FilterData" localSheetId="4" hidden="1">'QA log'!$A$4:$L$10</x:definedName>
  </x:definedNames>
</x:workbook>
</file>

<file path=xl/sharedStrings.xml><?xml version="1.0" encoding="utf-8"?>
<x:sst xmlns:x="http://schemas.openxmlformats.org/spreadsheetml/2006/main">
  <x:si>
    <x:t xml:space="preserve">Audio ID</x:t>
  </x:si>
  <x:si>
    <x:t xml:space="preserve">Sound or task</x:t>
  </x:si>
  <x:si>
    <x:t xml:space="preserve">Category</x:t>
  </x:si>
  <x:si>
    <x:t xml:space="preserve">Priority</x:t>
  </x:si>
  <x:si>
    <x:t xml:space="preserve">Stage</x:t>
  </x:si>
  <x:si>
    <x:t xml:space="preserve">Owner</x:t>
  </x:si>
  <x:si>
    <x:t xml:space="preserve">Milestone</x:t>
  </x:si>
  <x:si>
    <x:t xml:space="preserve">Due date</x:t>
  </x:si>
  <x:si>
    <x:t xml:space="preserve">Estimate hours</x:t>
  </x:si>
  <x:si>
    <x:t xml:space="preserve">Actual hours</x:t>
  </x:si>
  <x:si>
    <x:t xml:space="preserve">Wwise event</x:t>
  </x:si>
  <x:si>
    <x:t xml:space="preserve">Trigger or brief</x:t>
  </x:si>
  <x:si>
    <x:t xml:space="preserve">Variations</x:t>
  </x:si>
  <x:si>
    <x:t xml:space="preserve">DAW session link</x:t>
  </x:si>
  <x:si>
    <x:t xml:space="preserve">Export location or note</x:t>
  </x:si>
  <x:si>
    <x:t xml:space="preserve">In-game acceptance test</x:t>
  </x:si>
  <x:si>
    <x:t xml:space="preserve">Blocker or next action</x:t>
  </x:si>
  <x:si>
    <x:t xml:space="preserve">QA result</x:t>
  </x:si>
  <x:si>
    <x:t xml:space="preserve">Evidence</x:t>
  </x:si>
  <x:si>
    <x:t xml:space="preserve">Source URL</x:t>
  </x:si>
  <x:si>
    <x:t xml:space="preserve">AUD-001</x:t>
  </x:si>
  <x:si>
    <x:t xml:space="preserve">Forest ambience</x:t>
  </x:si>
  <x:si>
    <x:t xml:space="preserve">Ambience</x:t>
  </x:si>
  <x:si>
    <x:t xml:space="preserve">P2</x:t>
  </x:si>
  <x:si>
    <x:t xml:space="preserve">Audit needed</x:t>
  </x:si>
  <x:si>
    <x:t xml:space="preserve">M2</x:t>
  </x:si>
  <x:si>
    <x:t xml:space="preserve">Play_AMB_Forest</x:t>
  </x:si>
  <x:si>
    <x:t xml:space="preserve">Enter the forest arena</x:t>
  </x:si>
  <x:si>
    <x:t xml:space="preserve">Record the DAW session and export folder after audit.</x:t>
  </x:si>
  <x:si>
    <x:t xml:space="preserve">Enter, leave and revisit. Check looping and duplicate playback.</x:t>
  </x:si>
  <x:si>
    <x:t xml:space="preserve">Not tested</x:t>
  </x:si>
  <x:si>
    <x:t xml:space="preserve">Wwise Events / Ambience Work Unit.wwu</x:t>
  </x:si>
  <x:si>
    <x:t xml:space="preserve">AUD-002</x:t>
  </x:si>
  <x:si>
    <x:t xml:space="preserve">Stop forest ambience</x:t>
  </x:si>
  <x:si>
    <x:t xml:space="preserve">Stop_AMB_Forest</x:t>
  </x:si>
  <x:si>
    <x:t xml:space="preserve">Leave the forest arena</x:t>
  </x:si>
  <x:si>
    <x:t xml:space="preserve">Stop event. No separate WAV required.</x:t>
  </x:si>
  <x:si>
    <x:t xml:space="preserve">Leave during active playback. Check the tail and absence of stuck ambience.</x:t>
  </x:si>
  <x:si>
    <x:t xml:space="preserve">AUD-003</x:t>
  </x:si>
  <x:si>
    <x:t xml:space="preserve">Lava ambience</x:t>
  </x:si>
  <x:si>
    <x:t xml:space="preserve">Play_AMB_Lava</x:t>
  </x:si>
  <x:si>
    <x:t xml:space="preserve">Enter the lava arena</x:t>
  </x:si>
  <x:si>
    <x:t xml:space="preserve">AUD-004</x:t>
  </x:si>
  <x:si>
    <x:t xml:space="preserve">Stop lava ambience</x:t>
  </x:si>
  <x:si>
    <x:t xml:space="preserve">Stop_AMB_Lava</x:t>
  </x:si>
  <x:si>
    <x:t xml:space="preserve">Leave the lava arena</x:t>
  </x:si>
  <x:si>
    <x:t xml:space="preserve">AUD-005</x:t>
  </x:si>
  <x:si>
    <x:t xml:space="preserve">Combat event</x:t>
  </x:si>
  <x:si>
    <x:t xml:space="preserve">Music</x:t>
  </x:si>
  <x:si>
    <x:t xml:space="preserve">Play_Combat</x:t>
  </x:si>
  <x:si>
    <x:t xml:space="preserve">Confirm intended relationship with music system</x:t>
  </x:si>
  <x:si>
    <x:t xml:space="preserve">Compare this event with Game_Phase/Combat. Check accidental double playback.</x:t>
  </x:si>
  <x:si>
    <x:t xml:space="preserve">Wwise Events / Default Work Unit.wwu</x:t>
  </x:si>
  <x:si>
    <x:t xml:space="preserve">AUD-006</x:t>
  </x:si>
  <x:si>
    <x:t xml:space="preserve">Lobby event</x:t>
  </x:si>
  <x:si>
    <x:t xml:space="preserve">Play_Lobby</x:t>
  </x:si>
  <x:si>
    <x:t xml:space="preserve">Compare this event with Game_Phase/Lobby. Check accidental double playback.</x:t>
  </x:si>
  <x:si>
    <x:t xml:space="preserve">AUD-007</x:t>
  </x:si>
  <x:si>
    <x:t xml:space="preserve">Auctioneer voice</x:t>
  </x:si>
  <x:si>
    <x:t xml:space="preserve">Dialogue</x:t>
  </x:si>
  <x:si>
    <x:t xml:space="preserve">Play_DLG_Auctioneer</x:t>
  </x:si>
  <x:si>
    <x:t xml:space="preserve">Auctioneer announcement</x:t>
  </x:si>
  <x:si>
    <x:t xml:space="preserve">Run an auction. Check intelligibility under music and repeated announcements.</x:t>
  </x:si>
  <x:si>
    <x:t xml:space="preserve">Wwise Events / Dialogue Work Unit.wwu</x:t>
  </x:si>
  <x:si>
    <x:t xml:space="preserve">AUD-008</x:t>
  </x:si>
  <x:si>
    <x:t xml:space="preserve">Adaptive music</x:t>
  </x:si>
  <x:si>
    <x:t xml:space="preserve">P1</x:t>
  </x:si>
  <x:si>
    <x:t xml:space="preserve">Play_MX_System</x:t>
  </x:si>
  <x:si>
    <x:t xml:space="preserve">Music for game phases and maps</x:t>
  </x:si>
  <x:si>
    <x:t xml:space="preserve">Traverse menu, lobby, bidding and both combat maps with two to four players.</x:t>
  </x:si>
  <x:si>
    <x:t xml:space="preserve">Wwise Events / Music Work Unit.wwu</x:t>
  </x:si>
  <x:si>
    <x:t xml:space="preserve">AUD-009</x:t>
  </x:si>
  <x:si>
    <x:t xml:space="preserve">Stop music system</x:t>
  </x:si>
  <x:si>
    <x:t xml:space="preserve">Stop_MX_System</x:t>
  </x:si>
  <x:si>
    <x:t xml:space="preserve">Stop the active music system</x:t>
  </x:si>
  <x:si>
    <x:t xml:space="preserve">Verify the intended stop caller and fade behavior before approving.</x:t>
  </x:si>
  <x:si>
    <x:t xml:space="preserve">AUD-010</x:t>
  </x:si>
  <x:si>
    <x:t xml:space="preserve">Man Mask explosion</x:t>
  </x:si>
  <x:si>
    <x:t xml:space="preserve">SFX</x:t>
  </x:si>
  <x:si>
    <x:t xml:space="preserve">Play_SFX_ManMask_Explosion</x:t>
  </x:si>
  <x:si>
    <x:t xml:space="preserve">Timed mask explosion</x:t>
  </x:si>
  <x:si>
    <x:t xml:space="preserve">Trigger Man Mask. Check explosion timing and audibility for all players.</x:t>
  </x:si>
  <x:si>
    <x:t xml:space="preserve">Wwise Events / SFX Work Unit.wwu</x:t>
  </x:si>
  <x:si>
    <x:t xml:space="preserve">AUD-011</x:t>
  </x:si>
  <x:si>
    <x:t xml:space="preserve">Attack swing</x:t>
  </x:si>
  <x:si>
    <x:t xml:space="preserve">M1</x:t>
  </x:si>
  <x:si>
    <x:t xml:space="preserve">Play_SFX_Woosh</x:t>
  </x:si>
  <x:si>
    <x:t xml:space="preserve">Follow attack animation</x:t>
  </x:si>
  <x:si>
    <x:t xml:space="preserve">Compare first swing, combos and misses. Check timing and repeated triggers.</x:t>
  </x:si>
  <x:si>
    <x:t xml:space="preserve">AUD-012</x:t>
  </x:si>
  <x:si>
    <x:t xml:space="preserve">Parry</x:t>
  </x:si>
  <x:si>
    <x:t xml:space="preserve">Play_SFX_Parry</x:t>
  </x:si>
  <x:si>
    <x:t xml:space="preserve">Communicate a successful parry</x:t>
  </x:si>
  <x:si>
    <x:t xml:space="preserve">Parry from both sides. Confirm one audible response per successful parry.</x:t>
  </x:si>
  <x:si>
    <x:t xml:space="preserve">AUD-013</x:t>
  </x:si>
  <x:si>
    <x:t xml:space="preserve">Hit impact</x:t>
  </x:si>
  <x:si>
    <x:t xml:space="preserve">Play_SFX_Hit</x:t>
  </x:si>
  <x:si>
    <x:t xml:space="preserve">Confirm damage landed</x:t>
  </x:si>
  <x:si>
    <x:t xml:space="preserve">Repeat light and heavy hits. Check variation, panning and rapid overlap.</x:t>
  </x:si>
  <x:si>
    <x:t xml:space="preserve">AUD-014</x:t>
  </x:si>
  <x:si>
    <x:t xml:space="preserve">Rock slide</x:t>
  </x:si>
  <x:si>
    <x:t xml:space="preserve">Play_SFX_RockSlide</x:t>
  </x:si>
  <x:si>
    <x:t xml:space="preserve">Dropping platform movement</x:t>
  </x:si>
  <x:si>
    <x:t xml:space="preserve">Trigger platform drop. Check position, timing and replay behavior.</x:t>
  </x:si>
  <x:si>
    <x:t xml:space="preserve">AUD-015</x:t>
  </x:si>
  <x:si>
    <x:t xml:space="preserve">Jump</x:t>
  </x:si>
  <x:si>
    <x:t xml:space="preserve">Play_SFX_Jump</x:t>
  </x:si>
  <x:si>
    <x:t xml:space="preserve">Player leaves the ground</x:t>
  </x:si>
  <x:si>
    <x:t xml:space="preserve">Jump with two players. Check timing, panning and repeated jumps.</x:t>
  </x:si>
  <x:si>
    <x:t xml:space="preserve">AUD-016</x:t>
  </x:si>
  <x:si>
    <x:t xml:space="preserve">Death</x:t>
  </x:si>
  <x:si>
    <x:t xml:space="preserve">Play_SFX_Death</x:t>
  </x:si>
  <x:si>
    <x:t xml:space="preserve">Player dies</x:t>
  </x:si>
  <x:si>
    <x:t xml:space="preserve">Kill a player once. Confirm one sound and an audible tail after despawn.</x:t>
  </x:si>
  <x:si>
    <x:t xml:space="preserve">AUD-017</x:t>
  </x:si>
  <x:si>
    <x:t xml:space="preserve">Teleport</x:t>
  </x:si>
  <x:si>
    <x:t xml:space="preserve">Play_SFX_Warp</x:t>
  </x:si>
  <x:si>
    <x:t xml:space="preserve">Magician teleport</x:t>
  </x:si>
  <x:si>
    <x:t xml:space="preserve">Equip Magician and teleport. Compare timing with departure and arrival.</x:t>
  </x:si>
  <x:si>
    <x:t xml:space="preserve">AUD-018</x:t>
  </x:si>
  <x:si>
    <x:t xml:space="preserve">Fall</x:t>
  </x:si>
  <x:si>
    <x:t xml:space="preserve">Play_SFX_Fall</x:t>
  </x:si>
  <x:si>
    <x:t xml:space="preserve">Player falls out of bounds</x:t>
  </x:si>
  <x:si>
    <x:t xml:space="preserve">Fall off the cliff. Confirm event posts and no null reference occurs.</x:t>
  </x:si>
  <x:si>
    <x:t xml:space="preserve">Review PlayFall guard. See QA-001.</x:t>
  </x:si>
  <x:si>
    <x:t xml:space="preserve">AUD-019</x:t>
  </x:si>
  <x:si>
    <x:t xml:space="preserve">Bid adjustment</x:t>
  </x:si>
  <x:si>
    <x:t xml:space="preserve">UI</x:t>
  </x:si>
  <x:si>
    <x:t xml:space="preserve">Play_UI_Bid_Adjust</x:t>
  </x:si>
  <x:si>
    <x:t xml:space="preserve">Increase or decrease a bid</x:t>
  </x:si>
  <x:si>
    <x:t xml:space="preserve">Change bids rapidly in both directions. Confirm distinct responses without stacking.</x:t>
  </x:si>
  <x:si>
    <x:t xml:space="preserve">Wwise Events / UI Work Unit.wwu</x:t>
  </x:si>
  <x:si>
    <x:t xml:space="preserve">AUD-020</x:t>
  </x:si>
  <x:si>
    <x:t xml:space="preserve">Bid submitted</x:t>
  </x:si>
  <x:si>
    <x:t xml:space="preserve">Play_UI_Bid_Submit</x:t>
  </x:si>
  <x:si>
    <x:t xml:space="preserve">Accept a submitted bid</x:t>
  </x:si>
  <x:si>
    <x:t xml:space="preserve">Submit a valid bid. Confirm one sound and no rejection sound.</x:t>
  </x:si>
  <x:si>
    <x:t xml:space="preserve">AUD-021</x:t>
  </x:si>
  <x:si>
    <x:t xml:space="preserve">Bid rejected</x:t>
  </x:si>
  <x:si>
    <x:t xml:space="preserve">Play_UI_Bid_Reject</x:t>
  </x:si>
  <x:si>
    <x:t xml:space="preserve">Reject an invalid bid</x:t>
  </x:si>
  <x:si>
    <x:t xml:space="preserve">Attempt an invalid bid. Confirm feedback differs from success.</x:t>
  </x:si>
  <x:si>
    <x:t xml:space="preserve">AUD-022</x:t>
  </x:si>
  <x:si>
    <x:t xml:space="preserve">UI click</x:t>
  </x:si>
  <x:si>
    <x:t xml:space="preserve">Play_UI_Click</x:t>
  </x:si>
  <x:si>
    <x:t xml:space="preserve">Activate a control</x:t>
  </x:si>
  <x:si>
    <x:t xml:space="preserve">Activate menus by mouse and controller. Check duplicate click sounds.</x:t>
  </x:si>
  <x:si>
    <x:t xml:space="preserve">AUD-023</x:t>
  </x:si>
  <x:si>
    <x:t xml:space="preserve">UI focus</x:t>
  </x:si>
  <x:si>
    <x:t xml:space="preserve">Play_UI_Hover</x:t>
  </x:si>
  <x:si>
    <x:t xml:space="preserve">Highlight a control</x:t>
  </x:si>
  <x:si>
    <x:t xml:space="preserve">Move focus rapidly. Check sound rate and controller behavior.</x:t>
  </x:si>
  <x:si>
    <x:t xml:space="preserve">AUD-024</x:t>
  </x:si>
  <x:si>
    <x:t xml:space="preserve">Shop purchase</x:t>
  </x:si>
  <x:si>
    <x:t xml:space="preserve">Play_UI_Shop_Purchase</x:t>
  </x:si>
  <x:si>
    <x:t xml:space="preserve">Confirm an item purchase</x:t>
  </x:si>
  <x:si>
    <x:t xml:space="preserve">Buy an item and attempt a failed purchase. Sound only on the intended result.</x:t>
  </x:si>
  <x:si>
    <x:t xml:space="preserve">AUD-025</x:t>
  </x:si>
  <x:si>
    <x:t xml:space="preserve">Status acquired</x:t>
  </x:si>
  <x:si>
    <x:t xml:space="preserve">Brief</x:t>
  </x:si>
  <x:si>
    <x:t xml:space="preserve">Confirm purchase or pickup feedback is enough</x:t>
  </x:si>
  <x:si>
    <x:t xml:space="preserve">Acquire several passive effects. Avoid one new sound for every stat change.</x:t>
  </x:si>
  <x:si>
    <x:t xml:space="preserve">Confirm need with design</x:t>
  </x:si>
  <x:si>
    <x:t xml:space="preserve">Proposed audio task from Status Effects reference</x:t>
  </x:si>
  <x:si>
    <x:t xml:space="preserve">https://docs.google.com/spreadsheets/d/1lH4REzOzEWdbly2fVlv_ipqxtSUB278GweZunWTa760/edit</x:t>
  </x:si>
  <x:si>
    <x:t xml:space="preserve">AUD-026</x:t>
  </x:si>
  <x:si>
    <x:t xml:space="preserve">Man Mask warning</x:t>
  </x:si>
  <x:si>
    <x:t xml:space="preserve">Decide whether a warning is needed before detonation</x:t>
  </x:si>
  <x:si>
    <x:t xml:space="preserve">Confirm duration and cancellation rules with design.</x:t>
  </x:si>
  <x:si>
    <x:t xml:space="preserve">AUD-027</x:t>
  </x:si>
  <x:si>
    <x:t xml:space="preserve">Star Tarot trigger</x:t>
  </x:si>
  <x:si>
    <x:t xml:space="preserve">Decide sound for the star ability activation</x:t>
  </x:si>
  <x:si>
    <x:t xml:space="preserve">Confirm the activation threshold and repeated-trigger rate.</x:t>
  </x:si>
  <x:si>
    <x:t xml:space="preserve">AUD-028</x:t>
  </x:si>
  <x:si>
    <x:t xml:space="preserve">Sun Tarot counter</x:t>
  </x:si>
  <x:si>
    <x:t xml:space="preserve">Decide sound for the empowered parry</x:t>
  </x:si>
  <x:si>
    <x:t xml:space="preserve">Distinguish a normal parry from the Sun response.</x:t>
  </x:si>
  <x:si>
    <x:t xml:space="preserve">AUD-029</x:t>
  </x:si>
  <x:si>
    <x:t xml:space="preserve">Moon Tarot glide</x:t>
  </x:si>
  <x:si>
    <x:t xml:space="preserve">Decide whether glide needs a sustained sound</x:t>
  </x:si>
  <x:si>
    <x:t xml:space="preserve">Check start, landing, effect removal and death stop conditions.</x:t>
  </x:si>
  <x:si>
    <x:t xml:space="preserve">AUD-030</x:t>
  </x:si>
  <x:si>
    <x:t xml:space="preserve">Health steal feedback</x:t>
  </x:si>
  <x:si>
    <x:t xml:space="preserve">P3</x:t>
  </x:si>
  <x:si>
    <x:t xml:space="preserve">Decide a shared cue for life-steal effects</x:t>
  </x:si>
  <x:si>
    <x:t xml:space="preserve">Check rapid hits and avoid masking hit impacts.</x:t>
  </x:si>
  <x:si>
    <x:t xml:space="preserve">Effect Title</x:t>
  </x:si>
  <x:si>
    <x:t xml:space="preserve">Internal ID</x:t>
  </x:si>
  <x:si>
    <x:t xml:space="preserve">Description</x:t>
  </x:si>
  <x:si>
    <x:t xml:space="preserve">Class Used</x:t>
  </x:si>
  <x:si>
    <x:t xml:space="preserve">Audio decision</x:t>
  </x:si>
  <x:si>
    <x:t xml:space="preserve">Related audio IDs</x:t>
  </x:si>
  <x:si>
    <x:t xml:space="preserve">Suggested approach</x:t>
  </x:si>
  <x:si>
    <x:t xml:space="preserve">HP Up</x:t>
  </x:si>
  <x:si>
    <x:t xml:space="preserve">Get more health.</x:t>
  </x:si>
  <x:si>
    <x:t xml:space="preserve">BasicNumericalStatusEffectorSO</x:t>
  </x:si>
  <x:si>
    <x:t xml:space="preserve">Review reuse</x:t>
  </x:si>
  <x:si>
    <x:t xml:space="preserve">Start with shared acquisition feedback. Confirm whether gameplay needs another cue.</x:t>
  </x:si>
  <x:si>
    <x:t xml:space="preserve">Damage Up</x:t>
  </x:si>
  <x:si>
    <x:t xml:space="preserve">Deal more damage.</x:t>
  </x:si>
  <x:si>
    <x:t xml:space="preserve">Attack Speed Up</x:t>
  </x:si>
  <x:si>
    <x:t xml:space="preserve">Attack faster.</x:t>
  </x:si>
  <x:si>
    <x:t xml:space="preserve">Move Speed Up</x:t>
  </x:si>
  <x:si>
    <x:t xml:space="preserve">Move faster.</x:t>
  </x:si>
  <x:si>
    <x:t xml:space="preserve">Parry Duration Up</x:t>
  </x:si>
  <x:si>
    <x:t xml:space="preserve">Parry longer.</x:t>
  </x:si>
  <x:si>
    <x:t xml:space="preserve">Parry Cooldown Down</x:t>
  </x:si>
  <x:si>
    <x:t xml:space="preserve">Parry more.</x:t>
  </x:si>
  <x:si>
    <x:t xml:space="preserve">Dash Distance Up</x:t>
  </x:si>
  <x:si>
    <x:t xml:space="preserve">Dash farther.</x:t>
  </x:si>
  <x:si>
    <x:t xml:space="preserve">Dash Cooldown Down</x:t>
  </x:si>
  <x:si>
    <x:t xml:space="preserve">Dash more.</x:t>
  </x:si>
  <x:si>
    <x:t xml:space="preserve">Crit Chance Up</x:t>
  </x:si>
  <x:si>
    <x:t xml:space="preserve">Crit more often.</x:t>
  </x:si>
  <x:si>
    <x:t xml:space="preserve">Crit Damage Multiplier Up</x:t>
  </x:si>
  <x:si>
    <x:t xml:space="preserve">Crit for more damage</x:t>
  </x:si>
  <x:si>
    <x:t xml:space="preserve">Momentum Strike</x:t>
  </x:si>
  <x:si>
    <x:t xml:space="preserve">The faster you move, the harder you hit.</x:t>
  </x:si>
  <x:si>
    <x:t xml:space="preserve">Wombo Combo</x:t>
  </x:si>
  <x:si>
    <x:t xml:space="preserve">Combo more to deal more damage.</x:t>
  </x:si>
  <x:si>
    <x:t xml:space="preserve">Thief</x:t>
  </x:si>
  <x:si>
    <x:t xml:space="preserve">Steal money from your opponents. </x:t>
  </x:si>
  <x:si>
    <x:t xml:space="preserve">Heavy strike</x:t>
  </x:si>
  <x:si>
    <x:t xml:space="preserve">Hit twice as hard, move half as fast.</x:t>
  </x:si>
  <x:si>
    <x:t xml:space="preserve">CompositeNumericalStatusEffectorSO</x:t>
  </x:si>
  <x:si>
    <x:t xml:space="preserve">Glass Man</x:t>
  </x:si>
  <x:si>
    <x:t xml:space="preserve">Become fragile, but hit hard.</x:t>
  </x:si>
  <x:si>
    <x:t xml:space="preserve">Feather Weight</x:t>
  </x:si>
  <x:si>
    <x:t xml:space="preserve">Hit faster, but not as hard.</x:t>
  </x:si>
  <x:si>
    <x:t xml:space="preserve">Coward</x:t>
  </x:si>
  <x:si>
    <x:t xml:space="preserve">Hide behind your shield.</x:t>
  </x:si>
  <x:si>
    <x:t xml:space="preserve">Sprinter</x:t>
  </x:si>
  <x:si>
    <x:t xml:space="preserve">Move and dash faster.</x:t>
  </x:si>
  <x:si>
    <x:t xml:space="preserve">Home Run</x:t>
  </x:si>
  <x:si>
    <x:t xml:space="preserve">Hit slower, but harder</x:t>
  </x:si>
  <x:si>
    <x:t xml:space="preserve">Defensive Stance</x:t>
  </x:si>
  <x:si>
    <x:t xml:space="preserve">Move slower to tank more damage</x:t>
  </x:si>
  <x:si>
    <x:t xml:space="preserve">Absorber</x:t>
  </x:si>
  <x:si>
    <x:t xml:space="preserve">Absorb enemy health. The higher the max health, the more you steal.</x:t>
  </x:si>
  <x:si>
    <x:t xml:space="preserve">ComplexNumericalStatusEffectorSO</x:t>
  </x:si>
  <x:si>
    <x:t xml:space="preserve">Consider shared life-steal feedback. Confirm frequency and overlap with hits.</x:t>
  </x:si>
  <x:si>
    <x:t xml:space="preserve">Fast Hands</x:t>
  </x:si>
  <x:si>
    <x:t xml:space="preserve">Move faster the more money you carry.</x:t>
  </x:si>
  <x:si>
    <x:t xml:space="preserve">Snake Mask</x:t>
  </x:si>
  <x:si>
    <x:t xml:space="preserve">Snakes can't jump.</x:t>
  </x:si>
  <x:si>
    <x:t xml:space="preserve">Turtle Mask</x:t>
  </x:si>
  <x:si>
    <x:t xml:space="preserve">Why not slow down?</x:t>
  </x:si>
  <x:si>
    <x:t xml:space="preserve">Butterfly Mask</x:t>
  </x:si>
  <x:si>
    <x:t xml:space="preserve">A hit will send you flying</x:t>
  </x:si>
  <x:si>
    <x:t xml:space="preserve">Bear Mask</x:t>
  </x:si>
  <x:si>
    <x:t xml:space="preserve">Big and slow.</x:t>
  </x:si>
  <x:si>
    <x:t xml:space="preserve">Rabbit Mask</x:t>
  </x:si>
  <x:si>
    <x:t xml:space="preserve">Small and delicate.</x:t>
  </x:si>
  <x:si>
    <x:t xml:space="preserve">Bat Mask</x:t>
  </x:si>
  <x:si>
    <x:t xml:space="preserve">Your controlls go batty.</x:t>
  </x:si>
  <x:si>
    <x:t xml:space="preserve">ScriptedStatusEffectorSO</x:t>
  </x:si>
  <x:si>
    <x:t xml:space="preserve">Bee Mask</x:t>
  </x:si>
  <x:si>
    <x:t xml:space="preserve">Buffs for everyone! But not for you.</x:t>
  </x:si>
  <x:si>
    <x:t xml:space="preserve">ApplyXToTargetPlayersStatusEffectorSO</x:t>
  </x:si>
  <x:si>
    <x:t xml:space="preserve">Man Mask</x:t>
  </x:si>
  <x:si>
    <x:t xml:space="preserve">The clock is ticking...</x:t>
  </x:si>
  <x:si>
    <x:t xml:space="preserve">Review existing + new</x:t>
  </x:si>
  <x:si>
    <x:t xml:space="preserve">AUD-010, AUD-026</x:t>
  </x:si>
  <x:si>
    <x:t xml:space="preserve">Explosion event exists. Decide warning timing and cancellation separately.</x:t>
  </x:si>
  <x:si>
    <x:t xml:space="preserve">The Emperor Tarot</x:t>
  </x:si>
  <x:si>
    <x:t xml:space="preserve">Double's your attacks' damage if you're the richest.</x:t>
  </x:si>
  <x:si>
    <x:t xml:space="preserve">The Justice Tarot</x:t>
  </x:si>
  <x:si>
    <x:t xml:space="preserve">Claim an opponant's money when you hit them.</x:t>
  </x:si>
  <x:si>
    <x:t xml:space="preserve">The Weapon Tarot</x:t>
  </x:si>
  <x:si>
    <x:t xml:space="preserve">You're armed and ready.</x:t>
  </x:si>
  <x:si>
    <x:t xml:space="preserve">The Magician Tarot</x:t>
  </x:si>
  <x:si>
    <x:t xml:space="preserve">Who needs dashing when you can teleport?</x:t>
  </x:si>
  <x:si>
    <x:t xml:space="preserve">Review existing</x:t>
  </x:si>
  <x:si>
    <x:t xml:space="preserve">Warp event exists. Check timing and whether departure and arrival need separate layers.</x:t>
  </x:si>
  <x:si>
    <x:t xml:space="preserve">The Star Tarot</x:t>
  </x:si>
  <x:si>
    <x:t xml:space="preserve">Move fast enough and the resulting stars will dazzle the competition.</x:t>
  </x:si>
  <x:si>
    <x:t xml:space="preserve">Review new cue</x:t>
  </x:si>
  <x:si>
    <x:t xml:space="preserve">Confirm when stars appear and whether one shared activation cue is enough.</x:t>
  </x:si>
  <x:si>
    <x:t xml:space="preserve">The Lovers Tarot</x:t>
  </x:si>
  <x:si>
    <x:t xml:space="preserve">A big heart holds more health.</x:t>
  </x:si>
  <x:si>
    <x:t xml:space="preserve">The Sun Tarot</x:t>
  </x:si>
  <x:si>
    <x:t xml:space="preserve">Parry an opponant to unleash the wrath of the sun.</x:t>
  </x:si>
  <x:si>
    <x:t xml:space="preserve">CompositeStatusEffectorSO
ScriptedStatusEffectorSO
ApplyStunOnActionStatusEffect
ApplyDamageOnActionStatusEffect</x:t>
  </x:si>
  <x:si>
    <x:t xml:space="preserve">Reuse parry as a base. Decide whether the empowered response needs another layer.</x:t>
  </x:si>
  <x:si>
    <x:t xml:space="preserve">The Moon Tarot</x:t>
  </x:si>
  <x:si>
    <x:t xml:space="preserve">Jump higher and glide swiftly over terrain.</x:t>
  </x:si>
  <x:si>
    <x:t xml:space="preserve">CompositeStatusEffectorSO
ScriptedStatusEffectorSO
GlideStatusEffect
BasicNumericalStatusEffectorSO</x:t>
  </x:si>
  <x:si>
    <x:t xml:space="preserve">Review jump reuse and whether glide needs a loop with explicit stop conditions.</x:t>
  </x:si>
  <x:si>
    <x:t xml:space="preserve">The Devil Tarot</x:t>
  </x:si>
  <x:si>
    <x:t xml:space="preserve">Deal more critical hits and steal health too.</x:t>
  </x:si>
  <x:si>
    <x:t xml:space="preserve">CompositeStatusEffectorSO</x:t>
  </x:si>
  <x:si>
    <x:t xml:space="preserve">The World Tarot</x:t>
  </x:si>
  <x:si>
    <x:t xml:space="preserve">After a kill, your health and damage output grow. So do you!</x:t>
  </x:si>
  <x:si>
    <x:t xml:space="preserve">CompositeStatusEffectorSO
ScriptedStatusEffectorSO
ApplyXOnActionStatusEffect</x:t>
  </x:si>
  <x:si>
    <x:t xml:space="preserve">The Fool Tarot</x:t>
  </x:si>
  <x:si>
    <x:t xml:space="preserve">You're crits do double damage, but your health decreases by 40.</x:t>
  </x:si>
  <x:si>
    <x:t xml:space="preserve">The Chariot Tarot</x:t>
  </x:si>
  <x:si>
    <x:t xml:space="preserve">You don't have to worry about knockback or attacking slowing you down.</x:t>
  </x:si>
  <x:si>
    <x:t xml:space="preserve">The Hanged Man</x:t>
  </x:si>
  <x:si>
    <x:t xml:space="preserve">Jump extra high and steal enemy health.</x:t>
  </x:si>
  <x:si>
    <x:t xml:space="preserve">The Empress Tarot</x:t>
  </x:si>
  <x:si>
    <x:t xml:space="preserve">Counterattacks become crits.</x:t>
  </x:si>
  <x:si>
    <x:t xml:space="preserve">The High Priestess</x:t>
  </x:si>
  <x:si>
    <x:t xml:space="preserve">Regenerate health while not moving.</x:t>
  </x:si>
  <x:si>
    <x:t xml:space="preserve">The Hermit Tarot</x:t>
  </x:si>
  <x:si>
    <x:t xml:space="preserve">Send the others flying when you parry.</x:t>
  </x:si>
  <x:si>
    <x:t xml:space="preserve">The Tower Tarot</x:t>
  </x:si>
  <x:si>
    <x:t xml:space="preserve">If your health is greater, your hits become critical</x:t>
  </x:si>
  <x:si>
    <x:t xml:space="preserve">Deliverable</x:t>
  </x:si>
  <x:si>
    <x:t xml:space="preserve">Target date</x:t>
  </x:si>
  <x:si>
    <x:t xml:space="preserve">Assigned tasks</x:t>
  </x:si>
  <x:si>
    <x:t xml:space="preserve">Done</x:t>
  </x:si>
  <x:si>
    <x:t xml:space="preserve">Completion</x:t>
  </x:si>
  <x:si>
    <x:t xml:space="preserve">Exit criteria</x:t>
  </x:si>
  <x:si>
    <x:t xml:space="preserve">Core combat and bidding</x:t>
  </x:si>
  <x:si>
    <x:t xml:space="preserve">A playable round has clear hit, parry, death, bid and purchase feedback.</x:t>
  </x:si>
  <x:si>
    <x:t xml:space="preserve">Effects, environments and music</x:t>
  </x:si>
  <x:si>
    <x:t xml:space="preserve">Decide effect coverage. Test ambience stops, music transitions and auctioneer clarity.</x:t>
  </x:si>
  <x:si>
    <x:t xml:space="preserve">M3</x:t>
  </x:si>
  <x:si>
    <x:t xml:space="preserve">Full playthrough and fixes</x:t>
  </x:si>
  <x:si>
    <x:t xml:space="preserve">Pass a multiplayer playthrough on target builds. Close audio defects and record the tested build.</x:t>
  </x:si>
  <x:si>
    <x:t xml:space="preserve">QA ID</x:t>
  </x:si>
  <x:si>
    <x:t xml:space="preserve">Status</x:t>
  </x:si>
  <x:si>
    <x:t xml:space="preserve">Build or platform</x:t>
  </x:si>
  <x:si>
    <x:t xml:space="preserve">Test date</x:t>
  </x:si>
  <x:si>
    <x:t xml:space="preserve">Steps or finding</x:t>
  </x:si>
  <x:si>
    <x:t xml:space="preserve">Expected result</x:t>
  </x:si>
  <x:si>
    <x:t xml:space="preserve">Actual result or evidence</x:t>
  </x:si>
  <x:si>
    <x:t xml:space="preserve">Fix or retest notes</x:t>
  </x:si>
  <x:si>
    <x:t xml:space="preserve">Source</x:t>
  </x:si>
  <x:si>
    <x:t xml:space="preserve">QA-001</x:t>
  </x:si>
  <x:si>
    <x:t xml:space="preserve">Open</x:t>
  </x:si>
  <x:si>
    <x:t xml:space="preserve">Static code review. In PlayerAudioFeedback.PlayFall, a valid fallEvent returns before Post.</x:t>
  </x:si>
  <x:si>
    <x:t xml:space="preserve">A valid event posts once. Missing references do not throw.</x:t>
  </x:si>
  <x:si>
    <x:t xml:space="preserve">Investigate guard before testing. Not reproduced in a running build.</x:t>
  </x:si>
  <x:si>
    <x:t xml:space="preserve">PlayerAudioFeedback.cs, PlayFall</x:t>
  </x:si>
  <x:si>
    <x:t xml:space="preserve">QA-002</x:t>
  </x:si>
  <x:si>
    <x:t xml:space="preserve">Not run</x:t>
  </x:si>
  <x:si>
    <x:t xml:space="preserve">Move through menu, lobby, bidding and both maps. Eliminate players.</x:t>
  </x:si>
  <x:si>
    <x:t xml:space="preserve">Correct music changes without duplicate playback or stuck states.</x:t>
  </x:si>
  <x:si>
    <x:t xml:space="preserve">Suggested test</x:t>
  </x:si>
  <x:si>
    <x:t xml:space="preserve">QA-003</x:t>
  </x:si>
  <x:si>
    <x:t xml:space="preserve">Kill a player in host and client sessions.</x:t>
  </x:si>
  <x:si>
    <x:t xml:space="preserve">One death sound, correct pan and audible tail after despawn.</x:t>
  </x:si>
  <x:si>
    <x:t xml:space="preserve">QA-004</x:t>
  </x:si>
  <x:si>
    <x:t xml:space="preserve">AUD-002, AUD-004</x:t>
  </x:si>
  <x:si>
    <x:t xml:space="preserve">Leave and revisit both arenas.</x:t>
  </x:si>
  <x:si>
    <x:t xml:space="preserve">Previous ambience stops and re-entry does not stack loops.</x:t>
  </x:si>
  <x:si>
    <x:t xml:space="preserve">QA-005</x:t>
  </x:si>
  <x:si>
    <x:t xml:space="preserve">AUD-020, AUD-021</x:t>
  </x:si>
  <x:si>
    <x:t xml:space="preserve">Submit valid and invalid bids, then purchase an item.</x:t>
  </x:si>
  <x:si>
    <x:t xml:space="preserve">Each action gives the correct feedback once.</x:t>
  </x:si>
  <x:si>
    <x:t xml:space="preserve">QA-006</x:t>
  </x:si>
  <x:si>
    <x:t xml:space="preserve">All included audio</x:t>
  </x:si>
  <x:si>
    <x:t xml:space="preserve">Play a complete round on each intended target platform with multiple players.</x:t>
  </x:si>
  <x:si>
    <x:t xml:space="preserve">No missing events, stuck loops or audio errors. Dialogue and combat remain audible.</x:t>
  </x:si>
  <x:si>
    <x:t xml:space="preserve">Suggested release test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</x:si>
</x:sst>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"/>
  </x:numFmts>
  <x:fonts count="33">
    <x:font>
      <x:sz val="11"/>
      <x:color rgb="FF000000"/>
      <x:name val="Carlito"/>
    </x:font>
    <x:font>
      <x:b/>
      <x:sz val="17"/>
      <x:color rgb="FF24312A"/>
      <x:name val="Arial"/>
    </x:font>
    <x:font>
      <x:sz val="11"/>
      <x:color rgb="FF24312A"/>
      <x:name val="Arial"/>
    </x:font>
    <x:font>
      <x:sz val="10"/>
      <x:color rgb="FF536358"/>
      <x:name val="Arial"/>
    </x:font>
    <x:font>
      <x:b/>
      <x:sz val="11"/>
      <x:color rgb="FFFFFFFF"/>
      <x:name val="Arial"/>
    </x:font>
    <x:font>
      <x:b/>
      <x:sz val="11"/>
      <x:color rgb="FF24312A"/>
      <x:name val="Arial"/>
    </x:font>
    <x:font>
      <x:sz val="10"/>
      <x:color rgb="FF285E8A"/>
      <x:name val="Arial"/>
    </x:font>
    <x:font>
      <x:color theme="1"/>
      <x:name val="Carlito"/>
    </x:font>
    <x:font>
      <x:sz val="11"/>
      <x:color theme="1"/>
      <x:name val="Carlito"/>
    </x:font>
    <x:font>
      <x:b/>
      <x:sz val="11"/>
      <x:color rgb="FF234338"/>
      <x:name val="Arial"/>
    </x:font>
    <x:font>
      <x:sz val="11"/>
      <x:color rgb="FF234338"/>
      <x:name val="Arial"/>
    </x:font>
    <x:font>
      <x:b/>
      <x:sz val="10"/>
      <x:color rgb="FFFFFFFF"/>
      <x:name val="Arial"/>
    </x:font>
    <x:font>
      <x:b/>
      <x:sz val="21"/>
      <x:color rgb="FF234338"/>
      <x:name val="Arial"/>
    </x:font>
    <x:font>
      <x:sz val="10"/>
      <x:color rgb="FF65776C"/>
      <x:name val="Arial"/>
    </x:font>
    <x:font>
      <x:b/>
      <x:sz val="22"/>
      <x:color rgb="FF234338"/>
      <x:name val="Arial"/>
    </x:font>
    <x:font>
      <x:b/>
      <x:sz val="16"/>
      <x:color rgb="FF285B47"/>
      <x:name val="Arial"/>
    </x:font>
    <x:font>
      <x:b/>
      <x:sz val="10"/>
      <x:color rgb="FF65776C"/>
      <x:name val="Arial"/>
    </x:font>
    <x:font>
      <x:b/>
      <x:sz val="27"/>
      <x:color rgb="FFFFFFFF"/>
      <x:name val="Arial"/>
    </x:font>
    <x:font>
      <x:sz val="12"/>
      <x:color rgb="FFDCEACD"/>
      <x:name val="Arial"/>
    </x:font>
    <x:font>
      <x:b/>
      <x:sz val="25"/>
      <x:color rgb="FF285B47"/>
      <x:name val="Arial"/>
    </x:font>
    <x:font>
      <x:b/>
      <x:sz val="25"/>
      <x:color rgb="FF886731"/>
      <x:name val="Arial"/>
    </x:font>
    <x:font>
      <x:b/>
      <x:sz val="25"/>
      <x:color rgb="FF755286"/>
      <x:name val="Arial"/>
    </x:font>
    <x:font>
      <x:b/>
      <x:sz val="16"/>
      <x:color rgb="FF234338"/>
      <x:name val="Arial"/>
    </x:font>
    <x:font>
      <x:b/>
      <x:sz val="11"/>
      <x:color rgb="FF866135"/>
      <x:name val="Arial"/>
    </x:font>
    <x:font>
      <x:b/>
      <x:sz val="11"/>
      <x:color rgb="FF285B47"/>
      <x:name val="Arial"/>
    </x:font>
    <x:font>
      <x:b/>
      <x:sz val="11"/>
      <x:color rgb="FF406983"/>
      <x:name val="Arial"/>
    </x:font>
    <x:font>
      <x:b/>
      <x:sz val="14"/>
      <x:color rgb="FFFFFFFF"/>
      <x:name val="Arial"/>
    </x:font>
    <x:font>
      <x:b/>
      <x:sz val="14"/>
      <x:color rgb="FF285B47"/>
      <x:name val="Arial"/>
    </x:font>
    <x:font>
      <x:b/>
      <x:sz val="14"/>
      <x:color rgb="FF755286"/>
      <x:name val="Arial"/>
    </x:font>
    <x:font>
      <x:b/>
      <x:sz val="14"/>
      <x:color rgb="FF886731"/>
      <x:name val="Arial"/>
    </x:font>
    <x:font>
      <x:sz val="11"/>
      <x:color rgb="FF65776C"/>
      <x:name val="Arial"/>
    </x:font>
    <x:font>
      <x:b/>
      <x:sz val="15"/>
      <x:color rgb="FFFFFFFF"/>
      <x:name val="Arial"/>
    </x:font>
    <x:font>
      <x:b/>
      <x:sz val="10"/>
      <x:color rgb="FF234338"/>
      <x:name val="Arial"/>
    </x:font>
  </x:fonts>
  <x:fills count="22">
    <x:fill>
      <x:patternFill patternType="none"/>
    </x:fill>
    <x:fill>
      <x:patternFill patternType="lightGray"/>
    </x:fill>
    <x:fill>
      <x:patternFill patternType="solid">
        <x:fgColor rgb="FF344F40"/>
      </x:patternFill>
    </x:fill>
    <x:fill>
      <x:patternFill patternType="solid">
        <x:fgColor rgb="FFFFF6DB"/>
      </x:patternFill>
    </x:fill>
    <x:fill>
      <x:patternFill patternType="solid">
        <x:fgColor rgb="FFFFFFFF"/>
      </x:patternFill>
    </x:fill>
    <x:fill>
      <x:patternFill patternType="solid">
        <x:fgColor rgb="FFF3F6F1"/>
      </x:patternFill>
    </x:fill>
    <x:fill>
      <x:patternFill patternType="solid">
        <x:fgColor rgb="FF285B47"/>
      </x:patternFill>
    </x:fill>
    <x:fill>
      <x:patternFill patternType="solid">
        <x:fgColor rgb="FFEAF2E9"/>
      </x:patternFill>
    </x:fill>
    <x:fill>
      <x:patternFill patternType="solid">
        <x:fgColor rgb="FFFFF7E7"/>
      </x:patternFill>
    </x:fill>
    <x:fill>
      <x:patternFill patternType="solid">
        <x:fgColor rgb="FFF0E8F7"/>
      </x:patternFill>
    </x:fill>
    <x:fill>
      <x:patternFill patternType="solid">
        <x:fgColor rgb="FFFFF4DD"/>
      </x:patternFill>
    </x:fill>
    <x:fill>
      <x:patternFill patternType="solid">
        <x:fgColor rgb="FFFBFAF5"/>
      </x:patternFill>
    </x:fill>
    <x:fill>
      <x:patternFill patternType="solid">
        <x:fgColor rgb="FFE4EEDA"/>
      </x:patternFill>
    </x:fill>
    <x:fill>
      <x:patternFill patternType="solid">
        <x:fgColor rgb="FFF8ECD4"/>
      </x:patternFill>
    </x:fill>
    <x:fill>
      <x:patternFill patternType="solid">
        <x:fgColor rgb="FFEEE6F3"/>
      </x:patternFill>
    </x:fill>
    <x:fill>
      <x:patternFill patternType="solid">
        <x:fgColor rgb="FFF4E7D6"/>
      </x:patternFill>
    </x:fill>
    <x:fill>
      <x:patternFill patternType="solid">
        <x:fgColor rgb="FFE4EBDF"/>
      </x:patternFill>
    </x:fill>
    <x:fill>
      <x:patternFill patternType="solid">
        <x:fgColor rgb="FFE3ECF4"/>
      </x:patternFill>
    </x:fill>
    <x:fill>
      <x:patternFill patternType="solid">
        <x:fgColor rgb="FFD7E4C8"/>
      </x:patternFill>
    </x:fill>
    <x:fill>
      <x:patternFill patternType="solid">
        <x:fgColor rgb="FFE8DCEF"/>
      </x:patternFill>
    </x:fill>
    <x:fill>
      <x:patternFill patternType="solid">
        <x:fgColor rgb="FFF1E1C6"/>
      </x:patternFill>
    </x:fill>
    <x:fill>
      <x:patternFill patternType="solid">
        <x:fgColor rgb="FFF0F3EC"/>
      </x:patternFill>
    </x:fill>
  </x:fills>
  <x:borders count="10">
    <x:border/>
    <x:border>
      <x:bottom style="thin">
        <x:color rgb="FF93A59A"/>
      </x:bottom>
    </x:border>
    <x:border diagonalUp="0" diagonalDown="0">
      <x:left style="none"/>
      <x:top style="none"/>
      <x:bottom style="thin">
        <x:color rgb="FF93A59A"/>
      </x:bottom>
    </x:border>
    <x:border diagonalUp="0" diagonalDown="0">
      <x:top style="none"/>
      <x:bottom style="thin">
        <x:color rgb="FF93A59A"/>
      </x:bottom>
    </x:border>
    <x:border diagonalUp="0" diagonalDown="0">
      <x:right style="none"/>
      <x:top style="none"/>
      <x:bottom style="thin">
        <x:color rgb="FF93A59A"/>
      </x:bottom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</x:borders>
  <x:cellStyleXfs count="1">
    <x:xf numFmtId="0" fontId="0" fillId="0" borderId="0" applyFont="1" applyAlignment="1"/>
  </x:cellStyleXfs>
  <x:cellXfs count="207">
    <x:xf numFmtId="0" fontId="0" fillId="0" borderId="0" xfId="0" applyFont="1" applyAlignment="1">
      <x:alignment vertical="bottom" wrapText="0"/>
    </x:xf>
    <x:xf numFmtId="0" fontId="1" fillId="0" borderId="1" xfId="0" applyFont="1" applyBorder="1"/>
    <x:xf numFmtId="0" fontId="2" fillId="0" borderId="1" xfId="0" applyFont="1" applyBorder="1"/>
    <x:xf numFmtId="0" fontId="3" fillId="0" borderId="0" xfId="0" applyFont="1"/>
    <x:xf numFmtId="0" fontId="2" fillId="0" borderId="0" xfId="0" applyFont="1"/>
    <x:xf numFmtId="0" fontId="4" fillId="2" borderId="0" xfId="0" applyFont="1" applyFill="1" applyAlignment="1">
      <x:alignment horizontal="center" vertical="top" wrapText="1"/>
    </x:xf>
    <x:xf numFmtId="0" fontId="5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4" fillId="2" borderId="0" xfId="0" applyFont="1" applyFill="1" applyAlignment="1">
      <x:alignment horizontal="center" vertical="top" wrapText="1"/>
    </x:xf>
    <x:xf numFmtId="0" fontId="2" fillId="0" borderId="0" xfId="0" applyFont="1" applyAlignment="1">
      <x:alignment vertical="top" wrapText="1"/>
    </x:xf>
    <x:xf numFmtId="164" fontId="2" fillId="3" borderId="0" xfId="0" applyNumberFormat="1" applyFont="1" applyFill="1" applyAlignment="1">
      <x:alignment vertical="top" wrapText="1"/>
    </x:xf>
    <x:xf numFmtId="0" fontId="2" fillId="3" borderId="0" xfId="0" applyFont="1" applyFill="1" applyAlignment="1">
      <x:alignment vertical="top" wrapText="1"/>
    </x:xf>
    <x:xf numFmtId="9" fontId="2" fillId="0" borderId="0" xfId="0" applyNumberFormat="1" applyFont="1" applyAlignment="1">
      <x:alignment vertical="top" wrapText="1"/>
    </x:xf>
    <x:xf numFmtId="165" fontId="2" fillId="3" borderId="0" xfId="0" applyNumberFormat="1" applyFont="1" applyFill="1" applyAlignment="1">
      <x:alignment vertical="top" wrapText="1"/>
    </x:xf>
    <x:xf numFmtId="1" fontId="2" fillId="0" borderId="0" xfId="0" applyNumberFormat="1" applyFont="1" applyAlignment="1">
      <x:alignment vertical="top" wrapText="1"/>
    </x:xf>
    <x:xf numFmtId="165" fontId="2" fillId="0" borderId="0" xfId="0" applyNumberFormat="1" applyFont="1" applyAlignment="1">
      <x:alignment vertical="top" wrapText="1"/>
    </x:xf>
    <x:xf numFmtId="0" fontId="5" fillId="0" borderId="0" xfId="0" applyFont="1"/>
    <x:xf numFmtId="0" fontId="2" fillId="0" borderId="0" xfId="0" applyFont="1" applyAlignment="1">
      <x:alignment wrapText="1"/>
    </x:xf>
    <x:xf numFmtId="164" fontId="2" fillId="0" borderId="0" xfId="0" applyNumberFormat="1" applyFont="1"/>
    <x:xf numFmtId="0" fontId="7" fillId="0" borderId="0" xfId="0" applyFont="1"/>
    <x:xf numFmtId="164" fontId="8" fillId="0" borderId="0" xfId="0" applyNumberFormat="1" applyFont="1"/>
    <x:xf numFmtId="165" fontId="8" fillId="0" borderId="0" xfId="0" applyNumberFormat="1" applyFont="1"/>
    <x:xf numFmtId="1" fontId="8" fillId="0" borderId="0" xfId="0" applyNumberFormat="1" applyFont="1"/>
    <x:xf numFmtId="0" fontId="9" fillId="0" borderId="1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164" fontId="10" fillId="3" borderId="0" xfId="0" applyNumberFormat="1" applyFont="1" applyFill="1" applyBorder="1" applyAlignment="1">
      <x:alignment vertical="top" wrapText="1"/>
    </x:xf>
    <x:xf numFmtId="165" fontId="10" fillId="3" borderId="0" xfId="0" applyNumberFormat="1" applyFont="1" applyFill="1" applyBorder="1" applyAlignment="1">
      <x:alignment vertical="top" wrapText="1"/>
    </x:xf>
    <x:xf numFmtId="1" fontId="10" fillId="0" borderId="0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/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xfId="0" applyNumberFormat="1" applyFont="1" applyFill="1" applyBorder="0"/>
    <x:xf numFmtId="0" fontId="10" fillId="0" borderId="6" xfId="0" applyNumberFormat="1" applyFont="1" applyFill="1" applyBorder="1"/>
    <x:xf numFmtId="0" fontId="9" fillId="2" borderId="5" xfId="0" applyNumberFormat="1" applyFont="1" applyFill="1" applyBorder="1" applyAlignment="1">
      <x:alignment horizontal="center" vertical="top" wrapText="1"/>
    </x:xf>
    <x:xf numFmtId="0" fontId="9" fillId="2" xfId="0" applyNumberFormat="1" applyFont="1" applyFill="1" applyBorder="0" applyAlignment="1">
      <x:alignment horizontal="center" vertical="top" wrapText="1"/>
    </x:xf>
    <x:xf numFmtId="0" fontId="9" fillId="2" borderId="6" xfId="0" applyNumberFormat="1" applyFont="1" applyFill="1" applyBorder="1" applyAlignment="1">
      <x:alignment horizontal="center"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xfId="0" applyNumberFormat="1" applyFont="1" applyFill="1" applyBorder="0" applyAlignment="1">
      <x:alignment vertical="top" wrapText="1"/>
    </x:xf>
    <x:xf numFmtId="0" fontId="10" fillId="3" xfId="0" applyNumberFormat="1" applyFont="1" applyFill="1" applyBorder="0" applyAlignment="1">
      <x:alignment vertical="top" wrapText="1"/>
    </x:xf>
    <x:xf numFmtId="164" fontId="10" fillId="3" xfId="0" applyNumberFormat="1" applyFont="1" applyFill="1" applyBorder="0" applyAlignment="1">
      <x:alignment vertical="top" wrapText="1"/>
    </x:xf>
    <x:xf numFmtId="165" fontId="10" fillId="3" xfId="0" applyNumberFormat="1" applyFont="1" applyFill="1" applyBorder="0" applyAlignment="1">
      <x:alignment vertical="top" wrapText="1"/>
    </x:xf>
    <x:xf numFmtId="1" fontId="10" fillId="0" xfId="0" applyNumberFormat="1" applyFont="1" applyFill="1" applyBorder="0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 wrapText="1"/>
    </x:xf>
    <x:xf numFmtId="164" fontId="10" fillId="3" borderId="8" xfId="0" applyNumberFormat="1" applyFont="1" applyFill="1" applyBorder="1" applyAlignment="1">
      <x:alignment vertical="top" wrapText="1"/>
    </x:xf>
    <x:xf numFmtId="165" fontId="10" fillId="3" borderId="8" xfId="0" applyNumberFormat="1" applyFont="1" applyFill="1" applyBorder="1" applyAlignment="1">
      <x:alignment vertical="top" wrapText="1"/>
    </x:xf>
    <x:xf numFmtId="1" fontId="10" fillId="0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9" fillId="4" borderId="2" xfId="0" applyNumberFormat="1" applyFont="1" applyFill="1" applyBorder="1"/>
    <x:xf numFmtId="0" fontId="10" fillId="4" borderId="3" xfId="0" applyNumberFormat="1" applyFont="1" applyFill="1" applyBorder="1"/>
    <x:xf numFmtId="0" fontId="10" fillId="4" borderId="4" xfId="0" applyNumberFormat="1" applyFont="1" applyFill="1" applyBorder="1"/>
    <x:xf numFmtId="0" fontId="10" fillId="4" borderId="5" xfId="0" applyNumberFormat="1" applyFont="1" applyFill="1" applyBorder="1"/>
    <x:xf numFmtId="0" fontId="10" fillId="4" xfId="0" applyNumberFormat="1" applyFont="1" applyFill="1" applyBorder="0"/>
    <x:xf numFmtId="0" fontId="10" fillId="4" borderId="6" xfId="0" applyNumberFormat="1" applyFont="1" applyFill="1" applyBorder="1"/>
    <x:xf numFmtId="0" fontId="9" fillId="4" borderId="5" xfId="0" applyNumberFormat="1" applyFont="1" applyFill="1" applyBorder="1" applyAlignment="1">
      <x:alignment horizontal="center" vertical="top" wrapText="1"/>
    </x:xf>
    <x:xf numFmtId="0" fontId="9" fillId="4" xfId="0" applyNumberFormat="1" applyFont="1" applyFill="1" applyBorder="0" applyAlignment="1">
      <x:alignment horizontal="center" vertical="top" wrapText="1"/>
    </x:xf>
    <x:xf numFmtId="0" fontId="9" fillId="4" borderId="6" xfId="0" applyNumberFormat="1" applyFont="1" applyFill="1" applyBorder="1" applyAlignment="1">
      <x:alignment horizontal="center" vertical="top" wrapText="1"/>
    </x:xf>
    <x:xf numFmtId="0" fontId="10" fillId="4" borderId="5" xfId="0" applyNumberFormat="1" applyFont="1" applyFill="1" applyBorder="1" applyAlignment="1">
      <x:alignment vertical="top" wrapText="1"/>
    </x:xf>
    <x:xf numFmtId="0" fontId="10" fillId="4" xfId="0" applyNumberFormat="1" applyFont="1" applyFill="1" applyBorder="0" applyAlignment="1">
      <x:alignment vertical="top" wrapText="1"/>
    </x:xf>
    <x:xf numFmtId="164" fontId="10" fillId="4" xfId="0" applyNumberFormat="1" applyFont="1" applyFill="1" applyBorder="0" applyAlignment="1">
      <x:alignment vertical="top" wrapText="1"/>
    </x:xf>
    <x:xf numFmtId="165" fontId="10" fillId="4" xfId="0" applyNumberFormat="1" applyFont="1" applyFill="1" applyBorder="0" applyAlignment="1">
      <x:alignment vertical="top" wrapText="1"/>
    </x:xf>
    <x:xf numFmtId="1" fontId="10" fillId="4" xfId="0" applyNumberFormat="1" applyFont="1" applyFill="1" applyBorder="0" applyAlignment="1">
      <x:alignment vertical="top" wrapText="1"/>
    </x:xf>
    <x:xf numFmtId="0" fontId="10" fillId="4" borderId="6" xfId="0" applyNumberFormat="1" applyFont="1" applyFill="1" applyBorder="1" applyAlignment="1">
      <x:alignment vertical="top" wrapText="1"/>
    </x:xf>
    <x:xf numFmtId="0" fontId="10" fillId="4" borderId="7" xfId="0" applyNumberFormat="1" applyFont="1" applyFill="1" applyBorder="1" applyAlignment="1">
      <x:alignment vertical="top" wrapText="1"/>
    </x:xf>
    <x:xf numFmtId="0" fontId="10" fillId="4" borderId="8" xfId="0" applyNumberFormat="1" applyFont="1" applyFill="1" applyBorder="1" applyAlignment="1">
      <x:alignment vertical="top" wrapText="1"/>
    </x:xf>
    <x:xf numFmtId="164" fontId="10" fillId="4" borderId="8" xfId="0" applyNumberFormat="1" applyFont="1" applyFill="1" applyBorder="1" applyAlignment="1">
      <x:alignment vertical="top" wrapText="1"/>
    </x:xf>
    <x:xf numFmtId="165" fontId="10" fillId="4" borderId="8" xfId="0" applyNumberFormat="1" applyFont="1" applyFill="1" applyBorder="1" applyAlignment="1">
      <x:alignment vertical="top" wrapText="1"/>
    </x:xf>
    <x:xf numFmtId="1" fontId="10" fillId="4" borderId="8" xfId="0" applyNumberFormat="1" applyFont="1" applyFill="1" applyBorder="1" applyAlignment="1">
      <x:alignment vertical="top" wrapText="1"/>
    </x:xf>
    <x:xf numFmtId="0" fontId="10" fillId="4" borderId="9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center" wrapText="1"/>
    </x:xf>
    <x:xf numFmtId="0" fontId="10" fillId="4" xfId="0" applyNumberFormat="1" applyFont="1" applyFill="1" applyBorder="0" applyAlignment="1">
      <x:alignment vertical="center" wrapText="1"/>
    </x:xf>
    <x:xf numFmtId="164" fontId="10" fillId="4" xfId="0" applyNumberFormat="1" applyFont="1" applyFill="1" applyBorder="0" applyAlignment="1">
      <x:alignment vertical="center" wrapText="1"/>
    </x:xf>
    <x:xf numFmtId="165" fontId="10" fillId="4" xfId="0" applyNumberFormat="1" applyFont="1" applyFill="1" applyBorder="0" applyAlignment="1">
      <x:alignment vertical="center" wrapText="1"/>
    </x:xf>
    <x:xf numFmtId="1" fontId="10" fillId="4" xfId="0" applyNumberFormat="1" applyFont="1" applyFill="1" applyBorder="0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164" fontId="10" fillId="4" borderId="8" xfId="0" applyNumberFormat="1" applyFont="1" applyFill="1" applyBorder="1" applyAlignment="1">
      <x:alignment vertical="center" wrapText="1"/>
    </x:xf>
    <x:xf numFmtId="165" fontId="10" fillId="4" borderId="8" xfId="0" applyNumberFormat="1" applyFont="1" applyFill="1" applyBorder="1" applyAlignment="1">
      <x:alignment vertical="center" wrapText="1"/>
    </x:xf>
    <x:xf numFmtId="1" fontId="10" fillId="4" borderId="8" xfId="0" applyNumberFormat="1" applyFont="1" applyFill="1" applyBorder="1" applyAlignment="1">
      <x:alignment vertical="center" wrapText="1"/>
    </x:xf>
    <x:xf numFmtId="0" fontId="10" fillId="4" borderId="9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 applyAlignment="1">
      <x:alignment vertical="center" wrapText="1"/>
    </x:xf>
    <x:xf numFmtId="0" fontId="10" fillId="5" xfId="0" applyNumberFormat="1" applyFont="1" applyFill="1" applyBorder="0" applyAlignment="1">
      <x:alignment vertical="center" wrapText="1"/>
    </x:xf>
    <x:xf numFmtId="164" fontId="10" fillId="5" xfId="0" applyNumberFormat="1" applyFont="1" applyFill="1" applyBorder="0" applyAlignment="1">
      <x:alignment vertical="center" wrapText="1"/>
    </x:xf>
    <x:xf numFmtId="165" fontId="10" fillId="5" xfId="0" applyNumberFormat="1" applyFont="1" applyFill="1" applyBorder="0" applyAlignment="1">
      <x:alignment vertical="center" wrapText="1"/>
    </x:xf>
    <x:xf numFmtId="1" fontId="10" fillId="5" xfId="0" applyNumberFormat="1" applyFont="1" applyFill="1" applyBorder="0" applyAlignment="1">
      <x:alignment vertical="center" wrapText="1"/>
    </x:xf>
    <x:xf numFmtId="0" fontId="10" fillId="5" borderId="6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horizontal="center" vertical="top" wrapText="1"/>
    </x:xf>
    <x:xf numFmtId="0" fontId="9" fillId="6" xfId="0" applyNumberFormat="1" applyFont="1" applyFill="1" applyBorder="0" applyAlignment="1">
      <x:alignment horizontal="center" vertical="top" wrapText="1"/>
    </x:xf>
    <x:xf numFmtId="0" fontId="9" fillId="6" borderId="6" xfId="0" applyNumberFormat="1" applyFont="1" applyFill="1" applyBorder="1" applyAlignment="1">
      <x:alignment horizontal="center" vertical="top" wrapText="1"/>
    </x:xf>
    <x:xf numFmtId="0" fontId="11" fillId="6" borderId="5" xfId="0" applyNumberFormat="1" applyFont="1" applyFill="1" applyBorder="1" applyAlignment="1">
      <x:alignment horizontal="center" vertical="top" wrapText="1"/>
    </x:xf>
    <x:xf numFmtId="0" fontId="11" fillId="6" xfId="0" applyNumberFormat="1" applyFont="1" applyFill="1" applyBorder="0" applyAlignment="1">
      <x:alignment horizontal="center" vertical="top" wrapText="1"/>
    </x:xf>
    <x:xf numFmtId="0" fontId="11" fillId="6" borderId="6" xfId="0" applyNumberFormat="1" applyFont="1" applyFill="1" applyBorder="1" applyAlignment="1">
      <x:alignment horizontal="center" vertical="top" wrapText="1"/>
    </x:xf>
    <x:xf numFmtId="0" fontId="11" fillId="6" borderId="5" xfId="0" applyNumberFormat="1" applyFont="1" applyFill="1" applyBorder="1" applyAlignment="1">
      <x:alignment horizontal="left" vertical="top" wrapText="1"/>
    </x:xf>
    <x:xf numFmtId="0" fontId="11" fillId="6" xfId="0" applyNumberFormat="1" applyFont="1" applyFill="1" applyBorder="0" applyAlignment="1">
      <x:alignment horizontal="left" vertical="top" wrapText="1"/>
    </x:xf>
    <x:xf numFmtId="0" fontId="11" fillId="6" borderId="6" xfId="0" applyNumberFormat="1" applyFont="1" applyFill="1" applyBorder="1" applyAlignment="1">
      <x:alignment horizontal="left" vertical="top" wrapText="1"/>
    </x:xf>
    <x:xf numFmtId="0" fontId="9" fillId="7" borderId="2" xfId="0" applyNumberFormat="1" applyFont="1" applyFill="1" applyBorder="1"/>
    <x:xf numFmtId="0" fontId="10" fillId="7" borderId="3" xfId="0" applyNumberFormat="1" applyFont="1" applyFill="1" applyBorder="1"/>
    <x:xf numFmtId="0" fontId="10" fillId="7" borderId="4" xfId="0" applyNumberFormat="1" applyFont="1" applyFill="1" applyBorder="1"/>
    <x:xf numFmtId="0" fontId="12" fillId="7" borderId="2" xfId="0" applyNumberFormat="1" applyFont="1" applyFill="1" applyBorder="1"/>
    <x:xf numFmtId="0" fontId="13" fillId="4" borderId="5" xfId="0" applyNumberFormat="1" applyFont="1" applyFill="1" applyBorder="1"/>
    <x:xf numFmtId="0" fontId="10" fillId="5" borderId="7" xfId="0" applyNumberFormat="1" applyFont="1" applyFill="1" applyBorder="1" applyAlignment="1">
      <x:alignment vertical="center" wrapText="1"/>
    </x:xf>
    <x:xf numFmtId="0" fontId="10" fillId="5" borderId="8" xfId="0" applyNumberFormat="1" applyFont="1" applyFill="1" applyBorder="1" applyAlignment="1">
      <x:alignment vertical="center" wrapText="1"/>
    </x:xf>
    <x:xf numFmtId="0" fontId="10" fillId="5" borderId="9" xfId="0" applyNumberFormat="1" applyFont="1" applyFill="1" applyBorder="1" applyAlignment="1">
      <x:alignment vertical="center" wrapText="1"/>
    </x:xf>
    <x:xf numFmtId="9" fontId="10" fillId="0" borderId="0" xfId="0" applyNumberFormat="1" applyFont="1" applyFill="1" applyBorder="1" applyAlignment="1">
      <x:alignment vertical="top" wrapText="1"/>
    </x:xf>
    <x:xf numFmtId="165" fontId="10" fillId="0" borderId="0" xfId="0" applyNumberFormat="1" applyFont="1" applyFill="1" applyBorder="1" applyAlignment="1">
      <x:alignment vertical="top" wrapText="1"/>
    </x:xf>
    <x:xf numFmtId="9" fontId="10" fillId="0" xfId="0" applyNumberFormat="1" applyFont="1" applyFill="1" applyBorder="0" applyAlignment="1">
      <x:alignment vertical="top" wrapText="1"/>
    </x:xf>
    <x:xf numFmtId="165" fontId="10" fillId="0" xfId="0" applyNumberFormat="1" applyFont="1" applyFill="1" applyBorder="0" applyAlignment="1">
      <x:alignment vertical="top" wrapText="1"/>
    </x:xf>
    <x:xf numFmtId="9" fontId="10" fillId="0" borderId="8" xfId="0" applyNumberFormat="1" applyFont="1" applyFill="1" applyBorder="1" applyAlignment="1">
      <x:alignment vertical="top" wrapText="1"/>
    </x:xf>
    <x:xf numFmtId="165" fontId="10" fillId="0" borderId="8" xfId="0" applyNumberFormat="1" applyFont="1" applyFill="1" applyBorder="1" applyAlignment="1">
      <x:alignment vertical="top" wrapText="1"/>
    </x:xf>
    <x:xf numFmtId="9" fontId="10" fillId="4" xfId="0" applyNumberFormat="1" applyFont="1" applyFill="1" applyBorder="0" applyAlignment="1">
      <x:alignment vertical="top" wrapText="1"/>
    </x:xf>
    <x:xf numFmtId="9" fontId="10" fillId="4" borderId="8" xfId="0" applyNumberFormat="1" applyFont="1" applyFill="1" applyBorder="1" applyAlignment="1">
      <x:alignment vertical="top" wrapText="1"/>
    </x:xf>
    <x:xf numFmtId="9" fontId="10" fillId="4" xfId="0" applyNumberFormat="1" applyFont="1" applyFill="1" applyBorder="0" applyAlignment="1">
      <x:alignment vertical="center" wrapText="1"/>
    </x:xf>
    <x:xf numFmtId="9" fontId="10" fillId="4" borderId="8" xfId="0" applyNumberFormat="1" applyFont="1" applyFill="1" applyBorder="1" applyAlignment="1">
      <x:alignment vertical="center" wrapText="1"/>
    </x:xf>
    <x:xf numFmtId="9" fontId="10" fillId="5" xfId="0" applyNumberFormat="1" applyFont="1" applyFill="1" applyBorder="0" applyAlignment="1">
      <x:alignment vertical="center" wrapText="1"/>
    </x:xf>
    <x:xf numFmtId="164" fontId="10" fillId="5" borderId="8" xfId="0" applyNumberFormat="1" applyFont="1" applyFill="1" applyBorder="1" applyAlignment="1">
      <x:alignment vertical="center" wrapText="1"/>
    </x:xf>
    <x:xf numFmtId="9" fontId="10" fillId="5" borderId="8" xfId="0" applyNumberFormat="1" applyFont="1" applyFill="1" applyBorder="1" applyAlignment="1">
      <x:alignment vertical="center" wrapText="1"/>
    </x:xf>
    <x:xf numFmtId="165" fontId="10" fillId="5" borderId="8" xfId="0" applyNumberFormat="1" applyFont="1" applyFill="1" applyBorder="1" applyAlignment="1">
      <x:alignment vertical="center" wrapText="1"/>
    </x:xf>
    <x:xf numFmtId="0" fontId="14" fillId="7" borderId="3" xfId="0" applyNumberFormat="1" applyFont="1" applyFill="1" applyBorder="1"/>
    <x:xf numFmtId="0" fontId="13" fillId="4" xfId="0" applyNumberFormat="1" applyFont="1" applyFill="1" applyBorder="0"/>
    <x:xf numFmtId="0" fontId="9" fillId="5" xfId="0" applyNumberFormat="1" applyFont="1" applyFill="1" applyBorder="0" applyAlignment="1">
      <x:alignment vertical="center" wrapText="1"/>
    </x:xf>
    <x:xf numFmtId="0" fontId="9" fillId="4" xfId="0" applyNumberFormat="1" applyFont="1" applyFill="1" applyBorder="0" applyAlignment="1">
      <x:alignment vertical="center" wrapText="1"/>
    </x:xf>
    <x:xf numFmtId="0" fontId="9" fillId="4" borderId="8" xfId="0" applyNumberFormat="1" applyFont="1" applyFill="1" applyBorder="1" applyAlignment="1">
      <x:alignment vertical="center" wrapText="1"/>
    </x:xf>
    <x:xf numFmtId="0" fontId="10" fillId="8" xfId="0" applyNumberFormat="1" applyFont="1" applyFill="1" applyBorder="0" applyAlignment="1">
      <x:alignment vertical="center" wrapText="1"/>
    </x:xf>
    <x:xf numFmtId="164" fontId="10" fillId="8" xfId="0" applyNumberFormat="1" applyFont="1" applyFill="1" applyBorder="0" applyAlignment="1">
      <x:alignment vertical="center" wrapText="1"/>
    </x:xf>
    <x:xf numFmtId="0" fontId="10" fillId="8" borderId="8" xfId="0" applyNumberFormat="1" applyFont="1" applyFill="1" applyBorder="1" applyAlignment="1">
      <x:alignment vertical="center" wrapText="1"/>
    </x:xf>
    <x:xf numFmtId="164" fontId="10" fillId="8" borderId="8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10" fillId="9" xfId="0" applyNumberFormat="1" applyFont="1" applyFill="1" applyBorder="0" applyAlignment="1">
      <x:alignment vertical="center" wrapText="1"/>
    </x:xf>
    <x:xf numFmtId="0" fontId="10" fillId="9" borderId="8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164" fontId="10" fillId="10" xfId="0" applyNumberFormat="1" applyFont="1" applyFill="1" applyBorder="0" applyAlignment="1">
      <x:alignment vertical="center" wrapText="1"/>
    </x:xf>
    <x:xf numFmtId="0" fontId="10" fillId="10" xfId="0" applyNumberFormat="1" applyFont="1" applyFill="1" applyBorder="0" applyAlignment="1">
      <x:alignment vertical="center" wrapText="1"/>
    </x:xf>
    <x:xf numFmtId="164" fontId="10" fillId="10" borderId="8" xfId="0" applyNumberFormat="1" applyFont="1" applyFill="1" applyBorder="1" applyAlignment="1">
      <x:alignment vertical="center" wrapText="1"/>
    </x:xf>
    <x:xf numFmtId="0" fontId="10" fillId="10" borderId="8" xfId="0" applyNumberFormat="1" applyFont="1" applyFill="1" applyBorder="1" applyAlignment="1">
      <x:alignment vertical="center" wrapText="1"/>
    </x:xf>
    <x:xf numFmtId="9" fontId="15" fillId="5" xfId="0" applyNumberFormat="1" applyFont="1" applyFill="1" applyBorder="0" applyAlignment="1">
      <x:alignment vertical="center" wrapText="1"/>
    </x:xf>
    <x:xf numFmtId="9" fontId="15" fillId="4" xfId="0" applyNumberFormat="1" applyFont="1" applyFill="1" applyBorder="0" applyAlignment="1">
      <x:alignment vertical="center" wrapText="1"/>
    </x:xf>
    <x:xf numFmtId="9" fontId="15" fillId="5" borderId="8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0" fillId="11" borderId="0" xfId="0" applyNumberFormat="1" applyFont="1" applyFill="1" applyBorder="1" applyAlignment="1">
      <x:alignment vertical="bottom" wrapText="0"/>
    </x:xf>
    <x:xf numFmtId="0" fontId="10" fillId="11" borderId="0" xfId="0" applyNumberFormat="1" applyFont="1" applyFill="1" applyBorder="1" applyAlignment="1">
      <x:alignment vertical="bottom" wrapText="0"/>
    </x:xf>
    <x:xf numFmtId="0" fontId="10" fillId="11" borderId="0" xfId="0" applyNumberFormat="1" applyFont="1" applyFill="1" applyBorder="1" applyAlignment="1">
      <x:alignment vertical="center" wrapText="0"/>
    </x:xf>
    <x:xf numFmtId="0" fontId="10" fillId="6" borderId="0" xfId="0" applyNumberFormat="1" applyFont="1" applyFill="1" applyBorder="1" applyAlignment="1">
      <x:alignment vertical="center" wrapText="0"/>
    </x:xf>
    <x:xf numFmtId="0" fontId="10" fillId="6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0"/>
    </x:xf>
    <x:xf numFmtId="0" fontId="10" fillId="12" borderId="0" xfId="0" applyNumberFormat="1" applyFont="1" applyFill="1" applyBorder="1" applyAlignment="1">
      <x:alignment vertical="center" wrapText="1"/>
    </x:xf>
    <x:xf numFmtId="0" fontId="16" fillId="12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 wrapText="0"/>
    </x:xf>
    <x:xf numFmtId="0" fontId="10" fillId="13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0"/>
    </x:xf>
    <x:xf numFmtId="0" fontId="10" fillId="14" borderId="0" xfId="0" applyNumberFormat="1" applyFont="1" applyFill="1" applyBorder="1" applyAlignment="1">
      <x:alignment vertical="center" wrapText="1"/>
    </x:xf>
    <x:xf numFmtId="0" fontId="16" fillId="14" borderId="0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 applyAlignment="1">
      <x:alignment vertical="center" wrapText="1"/>
    </x:xf>
    <x:xf numFmtId="0" fontId="20" fillId="13" borderId="0" xfId="0" applyNumberFormat="1" applyFont="1" applyFill="1" applyBorder="1" applyAlignment="1">
      <x:alignment vertical="center" wrapText="1"/>
    </x:xf>
    <x:xf numFmtId="0" fontId="21" fillId="14" borderId="0" xfId="0" applyNumberFormat="1" applyFont="1" applyFill="1" applyBorder="1" applyAlignment="1">
      <x:alignment vertical="center" wrapText="1"/>
    </x:xf>
    <x:xf numFmtId="0" fontId="21" fillId="14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22" fillId="11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vertical="center" wrapText="0"/>
    </x:xf>
    <x:xf numFmtId="0" fontId="10" fillId="15" borderId="0" xfId="0" applyNumberFormat="1" applyFont="1" applyFill="1" applyBorder="1" applyAlignment="1">
      <x:alignment vertical="center" wrapText="1"/>
    </x:xf>
    <x:xf numFmtId="0" fontId="23" fillId="15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vertical="center" wrapText="0"/>
    </x:xf>
    <x:xf numFmtId="0" fontId="10" fillId="16" borderId="0" xfId="0" applyNumberFormat="1" applyFont="1" applyFill="1" applyBorder="1" applyAlignment="1">
      <x:alignment vertical="center" wrapText="1"/>
    </x:xf>
    <x:xf numFmtId="0" fontId="24" fillId="16" borderId="0" xfId="0" applyNumberFormat="1" applyFont="1" applyFill="1" applyBorder="1" applyAlignment="1">
      <x:alignment vertical="center" wrapText="1"/>
    </x:xf>
    <x:xf numFmtId="0" fontId="10" fillId="17" borderId="0" xfId="0" applyNumberFormat="1" applyFont="1" applyFill="1" applyBorder="1" applyAlignment="1">
      <x:alignment vertical="center" wrapText="0"/>
    </x:xf>
    <x:xf numFmtId="0" fontId="10" fillId="17" borderId="0" xfId="0" applyNumberFormat="1" applyFont="1" applyFill="1" applyBorder="1" applyAlignment="1">
      <x:alignment vertical="center" wrapText="1"/>
    </x:xf>
    <x:xf numFmtId="0" fontId="25" fillId="17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0"/>
    </x:xf>
    <x:xf numFmtId="0" fontId="10" fillId="4" borderId="0" xfId="0" applyNumberFormat="1" applyFont="1" applyFill="1" applyBorder="1" applyAlignment="1">
      <x:alignment vertical="center" wrapText="1"/>
    </x:xf>
    <x:xf numFmtId="0" fontId="26" fillId="6" borderId="0" xfId="0" applyNumberFormat="1" applyFont="1" applyFill="1" applyBorder="1" applyAlignment="1">
      <x:alignment vertical="center" wrapText="1"/>
    </x:xf>
    <x:xf numFmtId="0" fontId="10" fillId="18" borderId="0" xfId="0" applyNumberFormat="1" applyFont="1" applyFill="1" applyBorder="1" applyAlignment="1">
      <x:alignment vertical="center" wrapText="0"/>
    </x:xf>
    <x:xf numFmtId="0" fontId="10" fillId="18" borderId="0" xfId="0" applyNumberFormat="1" applyFont="1" applyFill="1" applyBorder="1" applyAlignment="1">
      <x:alignment vertical="center" wrapText="1"/>
    </x:xf>
    <x:xf numFmtId="0" fontId="27" fillId="18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 wrapText="0"/>
    </x:xf>
    <x:xf numFmtId="0" fontId="10" fillId="19" borderId="0" xfId="0" applyNumberFormat="1" applyFont="1" applyFill="1" applyBorder="1" applyAlignment="1">
      <x:alignment vertical="center" wrapText="1"/>
    </x:xf>
    <x:xf numFmtId="0" fontId="28" fillId="19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0"/>
    </x:xf>
    <x:xf numFmtId="0" fontId="10" fillId="20" borderId="0" xfId="0" applyNumberFormat="1" applyFont="1" applyFill="1" applyBorder="1" applyAlignment="1">
      <x:alignment vertical="center" wrapText="1"/>
    </x:xf>
    <x:xf numFmtId="0" fontId="29" fillId="20" borderId="0" xfId="0" applyNumberFormat="1" applyFont="1" applyFill="1" applyBorder="1" applyAlignment="1">
      <x:alignment vertical="center" wrapText="1"/>
    </x:xf>
    <x:xf numFmtId="0" fontId="30" fillId="11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0"/>
    </x:xf>
    <x:xf numFmtId="0" fontId="10" fillId="7" borderId="0" xfId="0" applyNumberFormat="1" applyFont="1" applyFill="1" applyBorder="1" applyAlignment="1">
      <x:alignment vertical="center" wrapText="1"/>
    </x:xf>
    <x:xf numFmtId="0" fontId="24" fillId="7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31" fillId="6" borderId="0" xfId="0" applyNumberFormat="1" applyFont="1" applyFill="1" applyBorder="1" applyAlignment="1">
      <x:alignment vertical="center" wrapText="1"/>
    </x:xf>
    <x:xf numFmtId="0" fontId="32" fillId="11" borderId="0" xfId="0" applyNumberFormat="1" applyFont="1" applyFill="1" applyBorder="1" applyAlignment="1">
      <x:alignment vertical="center" wrapText="0"/>
    </x:xf>
    <x:xf numFmtId="0" fontId="10" fillId="21" borderId="0" xfId="0" applyNumberFormat="1" applyFont="1" applyFill="1" applyBorder="1" applyAlignment="1">
      <x:alignment vertical="center" wrapText="0"/>
    </x:xf>
    <x:xf numFmtId="0" fontId="10" fillId="21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vertical="center" wrapText="1"/>
    </x:xf>
    <x:xf numFmtId="0" fontId="32" fillId="11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8">
    <x:dxf>
      <x:fill>
        <x:patternFill patternType="none"/>
      </x:fill>
      <x:border/>
    </x:dxf>
    <x:dxf>
      <x:fill>
        <x:patternFill>
          <x:bgColor theme="0"/>
        </x:patternFill>
      </x:fill>
      <x:border/>
    </x:dxf>
    <x:dxf>
      <x:fill>
        <x:patternFill>
          <x:bgColor rgb="FFD8D8D8"/>
        </x:patternFill>
      </x:fill>
      <x:border/>
    </x:dxf>
    <x:dxf>
      <x:border>
        <x:left style="thin">
          <x:color theme="0"/>
        </x:left>
        <x:right style="thin">
          <x:color theme="0"/>
        </x:right>
        <x:top style="thin">
          <x:color theme="0"/>
        </x:top>
        <x:bottom style="thin">
          <x:color theme="0"/>
        </x:bottom>
      </x:border>
    </x:dxf>
    <x:dxf>
      <x:fill>
        <x:patternFill>
          <x:bgColor rgb="FFF9D9D5"/>
        </x:patternFill>
      </x:fill>
      <x:border/>
    </x:dxf>
    <x:dxf>
      <x:fill>
        <x:patternFill>
          <x:bgColor rgb="FFF6DFCA"/>
        </x:patternFill>
      </x:fill>
      <x:border/>
    </x:dxf>
    <x:dxf>
      <x:fill>
        <x:patternFill>
          <x:bgColor rgb="FFDCE9F8"/>
        </x:patternFill>
      </x:fill>
      <x:border/>
    </x:dxf>
    <x:dxf>
      <x:fill>
        <x:patternFill>
          <x:bgColor rgb="FFE4E8CE"/>
        </x:patternFill>
      </x:fill>
      <x:border/>
    </x:dxf>
    <x:dxf>
      <x:fill>
        <x:patternFill>
          <x:bgColor rgb="FFE6E1F5"/>
        </x:patternFill>
      </x:fill>
      <x:border/>
    </x:dxf>
    <x:dxf>
      <x:fill>
        <x:patternFill>
          <x:bgColor rgb="FFF7DFEA"/>
        </x:patternFill>
      </x:fill>
      <x:border/>
    </x:dxf>
    <x:dxf>
      <x:fill>
        <x:patternFill>
          <x:bgColor rgb="FFDFEDDE"/>
        </x:patternFill>
      </x:fill>
      <x:border/>
    </x:dxf>
    <x:dxf>
      <x:font>
        <x:b/>
        <x:color rgb="FF4A6270"/>
      </x:font>
      <x:fill>
        <x:patternFill patternType="solid">
          <x:bgColor rgb="FFE9EEF1"/>
        </x:patternFill>
      </x:fill>
    </x:dxf>
    <x:dxf>
      <x:font>
        <x:b/>
        <x:color rgb="FF835E2B"/>
      </x:font>
      <x:fill>
        <x:patternFill patternType="solid">
          <x:bgColor rgb="FFF4E9D9"/>
        </x:patternFill>
      </x:fill>
    </x:dxf>
    <x:dxf>
      <x:font>
        <x:b/>
        <x:color rgb="FF644691"/>
      </x:font>
      <x:fill>
        <x:patternFill patternType="solid">
          <x:bgColor rgb="FFE8E0F5"/>
        </x:patternFill>
      </x:fill>
    </x:dxf>
    <x:dxf>
      <x:font>
        <x:b/>
        <x:color rgb="FF90611E"/>
      </x:font>
      <x:fill>
        <x:patternFill patternType="solid">
          <x:bgColor rgb="FFFBE8CD"/>
        </x:patternFill>
      </x:fill>
    </x:dxf>
    <x:dxf>
      <x:font>
        <x:b/>
        <x:color rgb="FF29667F"/>
      </x:font>
      <x:fill>
        <x:patternFill patternType="solid">
          <x:bgColor rgb="FFDDEEF4"/>
        </x:patternFill>
      </x:fill>
    </x:dxf>
    <x:dxf>
      <x:font>
        <x:b/>
        <x:color rgb="FF935742"/>
      </x:font>
      <x:fill>
        <x:patternFill patternType="solid">
          <x:bgColor rgb="FFF6E2DB"/>
        </x:patternFill>
      </x:fill>
    </x:dxf>
    <x:dxf>
      <x:font>
        <x:b/>
        <x:color rgb="FF2E673C"/>
      </x:font>
      <x:fill>
        <x:patternFill patternType="solid">
          <x:bgColor rgb="FFDCEEDC"/>
        </x:patternFill>
      </x:fill>
    </x:dxf>
    <x:dxf>
      <x:font>
        <x:b/>
        <x:color rgb="FF72766B"/>
      </x:font>
      <x:fill>
        <x:patternFill patternType="solid">
          <x:bgColor rgb="FFEEEEEB"/>
        </x:patternFill>
      </x:fill>
    </x:dxf>
    <x:dxf>
      <x:font>
        <x:b/>
        <x:color rgb="FF9B4B38"/>
      </x:font>
      <x:fill>
        <x:patternFill patternType="solid">
          <x:bgColor rgb="FFF5DBD3"/>
        </x:patternFill>
      </x:fill>
    </x:dxf>
    <x:dxf>
      <x:font>
        <x:color rgb="FF8A692C"/>
      </x:font>
      <x:fill>
        <x:patternFill patternType="solid">
          <x:bgColor rgb="FFF9ECCE"/>
        </x:patternFill>
      </x:fill>
    </x:dxf>
    <x:dxf>
      <x:font>
        <x:color rgb="FF5E775B"/>
      </x:font>
      <x:fill>
        <x:patternFill patternType="solid">
          <x:bgColor rgb="FFE5ECE4"/>
        </x:patternFill>
      </x:fill>
    </x:dxf>
    <x:dxf>
      <x:font>
        <x:b/>
        <x:color rgb="FF9B4B38"/>
      </x:font>
      <x:fill>
        <x:patternFill patternType="solid">
          <x:bgColor rgb="FFF5DBD3"/>
        </x:patternFill>
      </x:fill>
    </x:dxf>
    <x:dxf>
      <x:font>
        <x:b/>
        <x:color rgb="FF4A6270"/>
      </x:font>
      <x:fill>
        <x:patternFill patternType="solid">
          <x:bgColor rgb="FFE9EEF1"/>
        </x:patternFill>
      </x:fill>
    </x:dxf>
    <x:dxf>
      <x:font>
        <x:b/>
        <x:color rgb="FF644691"/>
      </x:font>
      <x:fill>
        <x:patternFill patternType="solid">
          <x:bgColor rgb="FFE8E0F5"/>
        </x:patternFill>
      </x:fill>
    </x:dxf>
    <x:dxf>
      <x:font>
        <x:b/>
        <x:color rgb="FF90611E"/>
      </x:font>
      <x:fill>
        <x:patternFill patternType="solid">
          <x:bgColor rgb="FFFBE8CD"/>
        </x:patternFill>
      </x:fill>
    </x:dxf>
    <x:dxf>
      <x:font>
        <x:b/>
        <x:color rgb="FF2E673C"/>
      </x:font>
      <x:fill>
        <x:patternFill patternType="solid">
          <x:bgColor rgb="FFDCEEDC"/>
        </x:patternFill>
      </x:fill>
    </x:dxf>
    <x:dxf>
      <x:font>
        <x:b/>
        <x:color rgb="FF2E673C"/>
      </x:font>
      <x:fill>
        <x:patternFill patternType="solid">
          <x:bgColor rgb="FFDCE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ed81c5dd241ef" /><Relationship Type="http://schemas.openxmlformats.org/officeDocument/2006/relationships/theme" Target="/xl/theme/theme1.xml" Id="R51b46305cc6041ab" /><Relationship Type="http://schemas.openxmlformats.org/officeDocument/2006/relationships/sharedStrings" Target="/xl/sharedStrings.xml" Id="R637afc6e9a364916" /><Relationship Type="http://schemas.openxmlformats.org/officeDocument/2006/relationships/worksheet" Target="/xl/worksheets/sheet1.xml" Id="Re43334d654224a8e" /><Relationship Type="http://schemas.openxmlformats.org/officeDocument/2006/relationships/worksheet" Target="/xl/worksheets/sheet2.xml" Id="R568b973dae59499f" /><Relationship Type="http://schemas.openxmlformats.org/officeDocument/2006/relationships/worksheet" Target="/xl/worksheets/sheet3.xml" Id="R132a9ba777724d0f" /><Relationship Type="http://schemas.openxmlformats.org/officeDocument/2006/relationships/worksheet" Target="/xl/worksheets/sheet4.xml" Id="Rbbe68f56ebff4bc0" /><Relationship Type="http://schemas.openxmlformats.org/officeDocument/2006/relationships/worksheet" Target="/xl/worksheets/sheet5.xml" Id="R829866736ca94dc7" /></Relationships>
</file>

<file path=xl/tables/table1.xml><?xml version="1.0" encoding="utf-8"?>
<x:table xmlns:x="http://schemas.openxmlformats.org/spreadsheetml/2006/main" id="3" name="AudioTasks" displayName="AudioTasks" ref="A4:T34">
  <x:tableColumns count="20">
    <x:tableColumn id="1" name="Audio ID"/>
    <x:tableColumn id="2" name="Sound or task"/>
    <x:tableColumn id="3" name="Category"/>
    <x:tableColumn id="4" name="Priority"/>
    <x:tableColumn id="5" name="Stage"/>
    <x:tableColumn id="6" name="Owner"/>
    <x:tableColumn id="7" name="Milestone"/>
    <x:tableColumn id="8" name="Due date"/>
    <x:tableColumn id="9" name="Estimate hours"/>
    <x:tableColumn id="10" name="Actual hours"/>
    <x:tableColumn id="11" name="Wwise event"/>
    <x:tableColumn id="12" name="Trigger or brief"/>
    <x:tableColumn id="13" name="Variations"/>
    <x:tableColumn id="14" name="DAW session link"/>
    <x:tableColumn id="15" name="Export location or note"/>
    <x:tableColumn id="16" name="In-game acceptance test"/>
    <x:tableColumn id="17" name="Blocker or next action"/>
    <x:tableColumn id="18" name="QA result"/>
    <x:tableColumn id="19" name="Evidence"/>
    <x:tableColumn id="20" name="Source URL"/>
  </x:tableColumns>
  <x:tableStyleInfo name="TableStyleLight1" showFirstColumn="1" showLastColumn="1" showRowStripes="1" showColumnStripes="0"/>
</x:table>
</file>

<file path=xl/tables/table2.xml><?xml version="1.0" encoding="utf-8"?>
<x:table xmlns:x="http://schemas.openxmlformats.org/spreadsheetml/2006/main" id="1" name="EffectReference" displayName="EffectReference" ref="A4:H51">
  <x:tableColumns count="8">
    <x:tableColumn id="1" name="Effect Title"/>
    <x:tableColumn id="2" name="Internal ID"/>
    <x:tableColumn id="3" name="Description"/>
    <x:tableColumn id="4" name="Class Used"/>
    <x:tableColumn id="5" name="Audio decision"/>
    <x:tableColumn id="6" name="Related audio IDs"/>
    <x:tableColumn id="7" name="Suggested approach"/>
    <x:tableColumn id="8" name="Source URL"/>
  </x:tableColumns>
  <x:tableStyleInfo name="TableStyleLight1" showFirstColumn="1" showLastColumn="1" showRowStripes="1" showColumnStripes="0"/>
</x:table>
</file>

<file path=xl/tables/table3.xml><?xml version="1.0" encoding="utf-8"?>
<x:table xmlns:x="http://schemas.openxmlformats.org/spreadsheetml/2006/main" id="2" name="AudioMilestones" displayName="AudioMilestones" ref="A4:J7">
  <x:tableColumns count="10">
    <x:tableColumn id="1" name="Milestone"/>
    <x:tableColumn id="2" name="Deliverable"/>
    <x:tableColumn id="3" name="Target date"/>
    <x:tableColumn id="4" name="Owner"/>
    <x:tableColumn id="5" name="Assigned tasks"/>
    <x:tableColumn id="6" name="Done"/>
    <x:tableColumn id="7" name="Completion"/>
    <x:tableColumn id="8" name="Estimate hours"/>
    <x:tableColumn id="9" name="Actual hours"/>
    <x:tableColumn id="10" name="Exit criteria"/>
  </x:tableColumns>
  <x:tableStyleInfo name="TableStyleLight1" showFirstColumn="1" showLastColumn="1" showRowStripes="1" showColumnStripes="0"/>
</x:table>
</file>

<file path=xl/tables/table4.xml><?xml version="1.0" encoding="utf-8"?>
<x:table xmlns:x="http://schemas.openxmlformats.org/spreadsheetml/2006/main" id="4" name="AudioQA" displayName="AudioQA" ref="A4:L10">
  <x:tableColumns count="12">
    <x:tableColumn id="1" name="QA ID"/>
    <x:tableColumn id="2" name="Related audio IDs"/>
    <x:tableColumn id="3" name="Priority"/>
    <x:tableColumn id="4" name="Status"/>
    <x:tableColumn id="5" name="Owner"/>
    <x:tableColumn id="6" name="Build or platform"/>
    <x:tableColumn id="7" name="Test date"/>
    <x:tableColumn id="8" name="Steps or finding"/>
    <x:tableColumn id="9" name="Expected result"/>
    <x:tableColumn id="10" name="Actual result or evidence"/>
    <x:tableColumn id="11" name="Fix or retest notes"/>
    <x:tableColumn id="12" name="Source"/>
  </x:tableColumns>
  <x:tableStyleInfo name="TableStyleLight1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056453cc0a44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56e8f37b824b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babdc2a8fb4b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53899de53a402e" /></Relationships>
</file>

<file path=xl/worksheets/sheet1.xml><?xml version="1.0" encoding="utf-8"?>
<x:worksheet xmlns:x="http://schemas.openxmlformats.org/spreadsheetml/2006/main">
  <x:sheetPr>
    <x:tabColor rgb="FF285B47"/>
  </x:sheetPr>
  <x:sheetViews>
    <x:sheetView showGridLines="0" workbookViewId="0"/>
  </x:sheetViews>
  <x:sheetFormatPr defaultColWidth="12.630000114440918" defaultRowHeight="15"/>
  <x:cols>
    <x:col min="1" max="1" width="3" hidden="0" customWidth="1"/>
    <x:col min="2" max="2" width="25" hidden="0" customWidth="1"/>
    <x:col min="3" max="26" width="8.630000114440918" customWidth="1"/>
    <x:col min="3" max="3" width="12" hidden="0" customWidth="1"/>
    <x:col min="4" max="4" width="3" hidden="0" customWidth="1"/>
    <x:col min="5" max="5" width="25" hidden="0" customWidth="1"/>
    <x:col min="6" max="6" width="12" hidden="0" customWidth="1"/>
    <x:col min="7" max="7" width="3" hidden="0" customWidth="1"/>
    <x:col min="8" max="8" width="25" hidden="0" customWidth="1"/>
    <x:col min="9" max="9" width="12" hidden="0" customWidth="1"/>
  </x:cols>
  <x:sheetData>
    <x:row r="1" ht="24" customHeight="1">
      <x:c r="A1" s="154"/>
      <x:c r="B1" s="154"/>
      <x:c r="C1" s="154"/>
      <x:c r="D1" s="154"/>
      <x:c r="E1" s="154"/>
      <x:c r="F1" s="154"/>
      <x:c r="G1" s="154"/>
      <x:c r="H1" s="154"/>
      <x:c r="I1" s="154"/>
    </x:row>
    <x:row r="2" ht="24" customHeight="1">
      <x:c r="A2" s="154"/>
      <x:c r="B2" s="157" t="str">
        <x:v>Nature's Bidding</x:v>
      </x:c>
      <x:c r="C2" s="157" t="str">
        <x:v>Nature's Bidding</x:v>
      </x:c>
      <x:c r="D2" s="157" t="str">
        <x:v>Nature's Bidding</x:v>
      </x:c>
      <x:c r="E2" s="157" t="str">
        <x:v>Nature's Bidding</x:v>
      </x:c>
      <x:c r="F2" s="157" t="str">
        <x:v>Nature's Bidding</x:v>
      </x:c>
      <x:c r="G2" s="157" t="str">
        <x:v>Nature's Bidding</x:v>
      </x:c>
      <x:c r="H2" s="157" t="str">
        <x:v>Nature's Bidding</x:v>
      </x:c>
      <x:c r="I2" s="157" t="str">
        <x:v>Nature's Bidding</x:v>
      </x:c>
    </x:row>
    <x:row r="3" ht="24" customHeight="1">
      <x:c r="A3" s="154"/>
      <x:c r="B3" s="157" t="str">
        <x:v>Nature's Bidding</x:v>
      </x:c>
      <x:c r="C3" s="157" t="str">
        <x:v>Nature's Bidding</x:v>
      </x:c>
      <x:c r="D3" s="157" t="str">
        <x:v>Nature's Bidding</x:v>
      </x:c>
      <x:c r="E3" s="157" t="str">
        <x:v>Nature's Bidding</x:v>
      </x:c>
      <x:c r="F3" s="157" t="str">
        <x:v>Nature's Bidding</x:v>
      </x:c>
      <x:c r="G3" s="157" t="str">
        <x:v>Nature's Bidding</x:v>
      </x:c>
      <x:c r="H3" s="157" t="str">
        <x:v>Nature's Bidding</x:v>
      </x:c>
      <x:c r="I3" s="157" t="str">
        <x:v>Nature's Bidding</x:v>
      </x:c>
    </x:row>
    <x:row r="4" ht="24" customHeight="1">
      <x:c r="A4" s="154"/>
      <x:c r="B4" s="158" t="str">
        <x:v>Audio production</x:v>
      </x:c>
      <x:c r="C4" s="158" t="str">
        <x:v>Audio production</x:v>
      </x:c>
      <x:c r="D4" s="158" t="str">
        <x:v>Audio production</x:v>
      </x:c>
      <x:c r="E4" s="158" t="str">
        <x:v>Audio production</x:v>
      </x:c>
      <x:c r="F4" s="158" t="str">
        <x:v>Audio production</x:v>
      </x:c>
      <x:c r="G4" s="158" t="str">
        <x:v>Audio production</x:v>
      </x:c>
      <x:c r="H4" s="158" t="str">
        <x:v>Audio production</x:v>
      </x:c>
      <x:c r="I4" s="158" t="str">
        <x:v>Audio production</x:v>
      </x:c>
    </x:row>
    <x:row r="5" ht="24" customHeight="1">
      <x:c r="A5" s="154"/>
      <x:c r="B5" s="154"/>
      <x:c r="C5" s="154"/>
      <x:c r="D5" s="154"/>
      <x:c r="E5" s="154"/>
      <x:c r="F5" s="154"/>
      <x:c r="G5" s="154"/>
      <x:c r="H5" s="154"/>
      <x:c r="I5" s="154"/>
    </x:row>
    <x:row r="6" ht="24" customHeight="1">
      <x:c r="A6" s="154"/>
      <x:c r="B6" s="161" t="str">
        <x:v>Tasks completed</x:v>
      </x:c>
      <x:c r="C6" s="161" t="str">
        <x:v>Tasks completed</x:v>
      </x:c>
      <x:c r="D6" s="154"/>
      <x:c r="E6" s="164" t="str">
        <x:v>First milestone</x:v>
      </x:c>
      <x:c r="F6" s="164" t="str">
        <x:v>First milestone</x:v>
      </x:c>
      <x:c r="G6" s="154"/>
      <x:c r="H6" s="167" t="str">
        <x:v>Open defects</x:v>
      </x:c>
      <x:c r="I6" s="167" t="str">
        <x:v>Open defects</x:v>
      </x:c>
    </x:row>
    <x:row r="7" ht="24" customHeight="1">
      <x:c r="A7" s="154"/>
      <x:c r="B7" s="168" t="str">
        <x:f>COUNTIF('Sound Effects Spreadsheet'!$E$5:$E$204,"Done")&amp;" / "&amp;COUNTA('Sound Effects Spreadsheet'!$A$5:$A$204)</x:f>
        <x:v>0 / 30</x:v>
      </x:c>
      <x:c r="C7" s="168" t="str"/>
      <x:c r="D7" s="154"/>
      <x:c r="E7" s="169" t="str">
        <x:f>'Milestones'!F5&amp;" / "&amp;'Milestones'!E5</x:f>
        <x:v>0 / 12</x:v>
      </x:c>
      <x:c r="F7" s="169" t="str"/>
      <x:c r="G7" s="154"/>
      <x:c r="H7" s="171" t="n">
        <x:f>COUNTIF('QA log'!$D$5:$D$104,"Open")+COUNTIF('QA log'!$D$5:$D$104,"In progress")+COUNTIF('QA log'!$D$5:$D$104,"Retest")</x:f>
        <x:v>1</x:v>
      </x:c>
      <x:c r="I7" s="171" t="str"/>
    </x:row>
    <x:row r="8" ht="24" customHeight="1">
      <x:c r="A8" s="154"/>
      <x:c r="B8" s="168" t="str"/>
      <x:c r="C8" s="168" t="str"/>
      <x:c r="D8" s="154"/>
      <x:c r="E8" s="169" t="str"/>
      <x:c r="F8" s="169" t="str"/>
      <x:c r="G8" s="154"/>
      <x:c r="H8" s="171" t="str"/>
      <x:c r="I8" s="171" t="str"/>
    </x:row>
    <x:row r="9" ht="24" customHeight="1">
      <x:c r="A9" s="154"/>
      <x:c r="B9" s="154"/>
      <x:c r="C9" s="154"/>
      <x:c r="D9" s="154"/>
      <x:c r="E9" s="154"/>
      <x:c r="F9" s="154"/>
      <x:c r="G9" s="154"/>
      <x:c r="H9" s="154"/>
      <x:c r="I9" s="154"/>
    </x:row>
    <x:row r="10" ht="24" customHeight="1">
      <x:c r="A10" s="154"/>
      <x:c r="B10" s="173" t="str">
        <x:v>Pick one sound to start</x:v>
      </x:c>
      <x:c r="C10" s="173" t="str">
        <x:v>Pick one sound to start</x:v>
      </x:c>
      <x:c r="D10" s="173" t="str">
        <x:v>Pick one sound to start</x:v>
      </x:c>
      <x:c r="E10" s="173" t="str">
        <x:v>Pick one sound to start</x:v>
      </x:c>
      <x:c r="F10" s="173" t="str">
        <x:v>Pick one sound to start</x:v>
      </x:c>
      <x:c r="G10" s="173" t="str">
        <x:v>Pick one sound to start</x:v>
      </x:c>
      <x:c r="H10" s="173" t="str">
        <x:v>Pick one sound to start</x:v>
      </x:c>
      <x:c r="I10" s="173" t="str">
        <x:v>Pick one sound to start</x:v>
      </x:c>
    </x:row>
    <x:row r="11" ht="24" customHeight="1">
      <x:c r="A11" s="154"/>
      <x:c r="B11" s="176" t="str">
        <x:v>Hit impact</x:v>
      </x:c>
      <x:c r="C11" s="176" t="str">
        <x:v>Hit impact</x:v>
      </x:c>
      <x:c r="D11" s="154"/>
      <x:c r="E11" s="179" t="str">
        <x:v>Parry</x:v>
      </x:c>
      <x:c r="F11" s="179" t="str">
        <x:v>Parry</x:v>
      </x:c>
      <x:c r="G11" s="154"/>
      <x:c r="H11" s="182" t="str">
        <x:v>Bid submitted</x:v>
      </x:c>
      <x:c r="I11" s="182" t="str">
        <x:v>Bid submitted</x:v>
      </x:c>
    </x:row>
    <x:row r="12" ht="24" customHeight="1">
      <x:c r="A12" s="154"/>
      <x:c r="B12" s="184" t="str">
        <x:v>Listen to the existing hit sound. Test its timing and repetition in a round.</x:v>
      </x:c>
      <x:c r="C12" s="184" t="str">
        <x:v>Listen to the existing hit sound. Test its timing and repetition in a round.</x:v>
      </x:c>
      <x:c r="D12" s="154"/>
      <x:c r="E12" s="184" t="str">
        <x:v>Parry from both sides. Check that a successful parry sounds once.</x:v>
      </x:c>
      <x:c r="F12" s="184" t="str">
        <x:v>Parry from both sides. Check that a successful parry sounds once.</x:v>
      </x:c>
      <x:c r="G12" s="154"/>
      <x:c r="H12" s="184" t="str">
        <x:v>Submit a valid bid. Make sure it sounds different from a rejection.</x:v>
      </x:c>
      <x:c r="I12" s="184" t="str">
        <x:v>Submit a valid bid. Make sure it sounds different from a rejection.</x:v>
      </x:c>
    </x:row>
    <x:row r="13" ht="24" customHeight="1">
      <x:c r="A13" s="154"/>
      <x:c r="B13" s="184" t="str">
        <x:v>Listen to the existing hit sound. Test its timing and repetition in a round.</x:v>
      </x:c>
      <x:c r="C13" s="184" t="str">
        <x:v>Listen to the existing hit sound. Test its timing and repetition in a round.</x:v>
      </x:c>
      <x:c r="D13" s="154"/>
      <x:c r="E13" s="184" t="str">
        <x:v>Parry from both sides. Check that a successful parry sounds once.</x:v>
      </x:c>
      <x:c r="F13" s="184" t="str">
        <x:v>Parry from both sides. Check that a successful parry sounds once.</x:v>
      </x:c>
      <x:c r="G13" s="154"/>
      <x:c r="H13" s="184" t="str">
        <x:v>Submit a valid bid. Make sure it sounds different from a rejection.</x:v>
      </x:c>
      <x:c r="I13" s="184" t="str">
        <x:v>Submit a valid bid. Make sure it sounds different from a rejection.</x:v>
      </x:c>
    </x:row>
    <x:row r="14" ht="24" customHeight="1">
      <x:c r="A14" s="154"/>
      <x:c r="B14" s="184" t="str">
        <x:v>Listen to the existing hit sound. Test its timing and repetition in a round.</x:v>
      </x:c>
      <x:c r="C14" s="184" t="str">
        <x:v>Listen to the existing hit sound. Test its timing and repetition in a round.</x:v>
      </x:c>
      <x:c r="D14" s="154"/>
      <x:c r="E14" s="184" t="str">
        <x:v>Parry from both sides. Check that a successful parry sounds once.</x:v>
      </x:c>
      <x:c r="F14" s="184" t="str">
        <x:v>Parry from both sides. Check that a successful parry sounds once.</x:v>
      </x:c>
      <x:c r="G14" s="154"/>
      <x:c r="H14" s="184" t="str">
        <x:v>Submit a valid bid. Make sure it sounds different from a rejection.</x:v>
      </x:c>
      <x:c r="I14" s="184" t="str">
        <x:v>Submit a valid bid. Make sure it sounds different from a rejection.</x:v>
      </x:c>
    </x:row>
    <x:row r="15" ht="24" customHeight="1">
      <x:c r="A15" s="154"/>
      <x:c r="B15" s="154"/>
      <x:c r="C15" s="154"/>
      <x:c r="D15" s="154"/>
      <x:c r="E15" s="154"/>
      <x:c r="F15" s="154"/>
      <x:c r="G15" s="154"/>
      <x:c r="H15" s="154"/>
      <x:c r="I15" s="154"/>
    </x:row>
    <x:row r="16" ht="24" customHeight="1">
      <x:c r="A16" s="154"/>
      <x:c r="B16" s="173" t="str">
        <x:v>Your working tabs</x:v>
      </x:c>
      <x:c r="C16" s="173" t="str">
        <x:v>Your working tabs</x:v>
      </x:c>
      <x:c r="D16" s="173" t="str">
        <x:v>Your working tabs</x:v>
      </x:c>
      <x:c r="E16" s="173" t="str">
        <x:v>Your working tabs</x:v>
      </x:c>
      <x:c r="F16" s="173" t="str">
        <x:v>Your working tabs</x:v>
      </x:c>
      <x:c r="G16" s="173" t="str">
        <x:v>Your working tabs</x:v>
      </x:c>
      <x:c r="H16" s="173" t="str">
        <x:v>Your working tabs</x:v>
      </x:c>
      <x:c r="I16" s="173" t="str">
        <x:v>Your working tabs</x:v>
      </x:c>
    </x:row>
    <x:row r="17" ht="24" customHeight="1">
      <x:c r="A17" s="154"/>
      <x:c r="B17" s="185" t="str">
        <x:v>Sound tracker</x:v>
      </x:c>
      <x:c r="C17" s="185" t="str">
        <x:v>Sound tracker</x:v>
      </x:c>
      <x:c r="D17" s="154"/>
      <x:c r="E17" s="188" t="str">
        <x:v>Milestones</x:v>
      </x:c>
      <x:c r="F17" s="188" t="str">
        <x:v>Milestones</x:v>
      </x:c>
      <x:c r="G17" s="154"/>
      <x:c r="H17" s="191" t="str">
        <x:v>Listening tests</x:v>
      </x:c>
      <x:c r="I17" s="191" t="str">
        <x:v>Listening tests</x:v>
      </x:c>
    </x:row>
    <x:row r="18" ht="24" customHeight="1">
      <x:c r="A18" s="154"/>
      <x:c r="B18" s="185" t="str">
        <x:v>Sound tracker</x:v>
      </x:c>
      <x:c r="C18" s="185" t="str">
        <x:v>Sound tracker</x:v>
      </x:c>
      <x:c r="D18" s="154"/>
      <x:c r="E18" s="188" t="str">
        <x:v>Milestones</x:v>
      </x:c>
      <x:c r="F18" s="188" t="str">
        <x:v>Milestones</x:v>
      </x:c>
      <x:c r="G18" s="154"/>
      <x:c r="H18" s="191" t="str">
        <x:v>Listening tests</x:v>
      </x:c>
      <x:c r="I18" s="191" t="str">
        <x:v>Listening tests</x:v>
      </x:c>
    </x:row>
    <x:row r="19" ht="24" customHeight="1">
      <x:c r="A19" s="154"/>
      <x:c r="B19" s="154"/>
      <x:c r="C19" s="154"/>
      <x:c r="D19" s="154"/>
      <x:c r="E19" s="154"/>
      <x:c r="F19" s="154"/>
      <x:c r="G19" s="154"/>
      <x:c r="H19" s="154"/>
      <x:c r="I19" s="154"/>
    </x:row>
    <x:row r="20" ht="24" customHeight="1">
      <x:c r="A20" s="154"/>
      <x:c r="B20" s="194" t="str">
        <x:v>Effects reference</x:v>
      </x:c>
      <x:c r="C20" s="194" t="str">
        <x:v>Effects reference</x:v>
      </x:c>
      <x:c r="D20" s="154"/>
      <x:c r="E20" s="195" t="str">
        <x:v>Update the stage after each session. Check milestone dates and open defects once a week.</x:v>
      </x:c>
      <x:c r="F20" s="195" t="str">
        <x:v>Update the stage after each session. Check milestone dates and open defects once a week.</x:v>
      </x:c>
      <x:c r="G20" s="195" t="str">
        <x:v>Update the stage after each session. Check milestone dates and open defects once a week.</x:v>
      </x:c>
      <x:c r="H20" s="195" t="str">
        <x:v>Update the stage after each session. Check milestone dates and open defects once a week.</x:v>
      </x:c>
      <x:c r="I20" s="195" t="str">
        <x:v>Update the stage after each session. Check milestone dates and open defects once a week.</x:v>
      </x:c>
    </x:row>
    <x:row r="21" ht="24" customHeight="1">
      <x:c r="A21" s="154"/>
      <x:c r="B21" s="194" t="str">
        <x:v>Effects reference</x:v>
      </x:c>
      <x:c r="C21" s="194" t="str">
        <x:v>Effects reference</x:v>
      </x:c>
      <x:c r="D21" s="154"/>
      <x:c r="E21" s="195" t="str">
        <x:v>Update the stage after each session. Check milestone dates and open defects once a week.</x:v>
      </x:c>
      <x:c r="F21" s="195" t="str">
        <x:v>Update the stage after each session. Check milestone dates and open defects once a week.</x:v>
      </x:c>
      <x:c r="G21" s="195" t="str">
        <x:v>Update the stage after each session. Check milestone dates and open defects once a week.</x:v>
      </x:c>
      <x:c r="H21" s="195" t="str">
        <x:v>Update the stage after each session. Check milestone dates and open defects once a week.</x:v>
      </x:c>
      <x:c r="I21" s="195" t="str">
        <x:v>Update the stage after each session. Check milestone dates and open defects once a week.</x:v>
      </x:c>
    </x:row>
    <x:row r="22" ht="24" customHeight="1">
      <x:c r="A22" s="154"/>
      <x:c r="B22" s="154"/>
      <x:c r="C22" s="154"/>
      <x:c r="D22" s="154"/>
      <x:c r="E22" s="154"/>
      <x:c r="F22" s="154"/>
      <x:c r="G22" s="154"/>
      <x:c r="H22" s="154"/>
      <x:c r="I22" s="154"/>
    </x:row>
    <x:row r="23" ht="24" customHeight="1">
      <x:c r="A23" s="154"/>
      <x:c r="B23" s="198" t="str">
        <x:v>Brief  &gt;  Design  &gt;  Review  &gt;  Implement  &gt;  QA  &gt;  Done</x:v>
      </x:c>
      <x:c r="C23" s="198" t="str">
        <x:v>Brief  &gt;  Design  &gt;  Review  &gt;  Implement  &gt;  QA  &gt;  Done</x:v>
      </x:c>
      <x:c r="D23" s="198" t="str">
        <x:v>Brief  &gt;  Design  &gt;  Review  &gt;  Implement  &gt;  QA  &gt;  Done</x:v>
      </x:c>
      <x:c r="E23" s="198" t="str">
        <x:v>Brief  &gt;  Design  &gt;  Review  &gt;  Implement  &gt;  QA  &gt;  Done</x:v>
      </x:c>
      <x:c r="F23" s="198" t="str">
        <x:v>Brief  &gt;  Design  &gt;  Review  &gt;  Implement  &gt;  QA  &gt;  Done</x:v>
      </x:c>
      <x:c r="G23" s="198" t="str">
        <x:v>Brief  &gt;  Design  &gt;  Review  &gt;  Implement  &gt;  QA  &gt;  Done</x:v>
      </x:c>
      <x:c r="H23" s="198" t="str">
        <x:v>Brief  &gt;  Design  &gt;  Review  &gt;  Implement  &gt;  QA  &gt;  Done</x:v>
      </x:c>
      <x:c r="I23" s="198" t="str">
        <x:v>Brief  &gt;  Design  &gt;  Review  &gt;  Implement  &gt;  QA  &gt;  Done</x:v>
      </x:c>
    </x:row>
    <x:row r="24" ht="24" customHeight="1">
      <x:c r="A24" s="154"/>
      <x:c r="B24" s="154"/>
      <x:c r="C24" s="154"/>
      <x:c r="D24" s="154"/>
      <x:c r="E24" s="154"/>
      <x:c r="F24" s="154"/>
      <x:c r="G24" s="154"/>
      <x:c r="H24" s="154"/>
      <x:c r="I24" s="154"/>
    </x:row>
    <x:row r="25" ht="24" customHeight="1">
      <x:c r="A25" s="154"/>
      <x:c r="B25" s="199" t="str">
        <x:v>The reference and detailed workflow are below. You do not need to fill everything in today.</x:v>
      </x:c>
      <x:c r="C25" s="199" t="str">
        <x:v>The reference and detailed workflow are below. You do not need to fill everything in today.</x:v>
      </x:c>
      <x:c r="D25" s="199" t="str">
        <x:v>The reference and detailed workflow are below. You do not need to fill everything in today.</x:v>
      </x:c>
      <x:c r="E25" s="199" t="str">
        <x:v>The reference and detailed workflow are below. You do not need to fill everything in today.</x:v>
      </x:c>
      <x:c r="F25" s="199" t="str">
        <x:v>The reference and detailed workflow are below. You do not need to fill everything in today.</x:v>
      </x:c>
      <x:c r="G25" s="199" t="str">
        <x:v>The reference and detailed workflow are below. You do not need to fill everything in today.</x:v>
      </x:c>
      <x:c r="H25" s="199" t="str">
        <x:v>The reference and detailed workflow are below. You do not need to fill everything in today.</x:v>
      </x:c>
      <x:c r="I25" s="199" t="str">
        <x:v>The reference and detailed workflow are below. You do not need to fill everything in today.</x:v>
      </x:c>
    </x:row>
    <x:row r="26" ht="24" customHeight="1">
      <x:c r="A26" s="154"/>
      <x:c r="B26" s="154"/>
      <x:c r="C26" s="154"/>
      <x:c r="D26" s="154"/>
      <x:c r="E26" s="154"/>
      <x:c r="F26" s="154"/>
      <x:c r="G26" s="154"/>
      <x:c r="H26" s="154"/>
      <x:c r="I26" s="154"/>
    </x:row>
    <x:row r="27" ht="24" customHeight="1">
      <x:c r="A27" s="154"/>
      <x:c r="B27" s="154"/>
      <x:c r="C27" s="154"/>
      <x:c r="D27" s="154"/>
      <x:c r="E27" s="154"/>
      <x:c r="F27" s="154"/>
      <x:c r="G27" s="154"/>
      <x:c r="H27" s="154"/>
      <x:c r="I27" s="154"/>
    </x:row>
    <x:row r="28" ht="24" customHeight="1">
      <x:c r="A28" s="154"/>
      <x:c r="B28" s="154"/>
      <x:c r="C28" s="154"/>
      <x:c r="D28" s="154"/>
      <x:c r="E28" s="154"/>
      <x:c r="F28" s="154"/>
      <x:c r="G28" s="154"/>
      <x:c r="H28" s="154"/>
      <x:c r="I28" s="154"/>
    </x:row>
    <x:row r="29" ht="24" customHeight="1">
      <x:c r="A29" s="154"/>
      <x:c r="B29" s="200" t="str">
        <x:v>Workflow and reference</x:v>
      </x:c>
      <x:c r="C29" s="200" t="str">
        <x:v>Workflow and reference</x:v>
      </x:c>
      <x:c r="D29" s="200" t="str">
        <x:v>Workflow and reference</x:v>
      </x:c>
      <x:c r="E29" s="200" t="str">
        <x:v>Workflow and reference</x:v>
      </x:c>
      <x:c r="F29" s="200" t="str">
        <x:v>Workflow and reference</x:v>
      </x:c>
      <x:c r="G29" s="200" t="str">
        <x:v>Workflow and reference</x:v>
      </x:c>
      <x:c r="H29" s="200" t="str">
        <x:v>Workflow and reference</x:v>
      </x:c>
      <x:c r="I29" s="200" t="str">
        <x:v>Workflow and reference</x:v>
      </x:c>
    </x:row>
    <x:row r="30" ht="52" customHeight="1">
      <x:c r="A30" s="154"/>
      <x:c r="B30" s="205" t="str">
        <x:v>1. Set scope</x:v>
      </x:c>
      <x:c r="C30" s="204" t="str">
        <x:v>Read Status Effects. Confirm each audio decision before making new sounds. The 47 gameplay effects do not automatically require 47 unique cues.</x:v>
      </x:c>
      <x:c r="D30" s="204" t="str">
        <x:v>Read Status Effects. Confirm each audio decision before making new sounds. The 47 gameplay effects do not automatically require 47 unique cues.</x:v>
      </x:c>
      <x:c r="E30" s="204" t="str">
        <x:v>Read Status Effects. Confirm each audio decision before making new sounds. The 47 gameplay effects do not automatically require 47 unique cues.</x:v>
      </x:c>
      <x:c r="F30" s="204" t="str">
        <x:v>Read Status Effects. Confirm each audio decision before making new sounds. The 47 gameplay effects do not automatically require 47 unique cues.</x:v>
      </x:c>
      <x:c r="G30" s="204" t="str">
        <x:v>Read Status Effects. Confirm each audio decision before making new sounds. The 47 gameplay effects do not automatically require 47 unique cues.</x:v>
      </x:c>
      <x:c r="H30" s="204" t="str">
        <x:v>Read Status Effects. Confirm each audio decision before making new sounds. The 47 gameplay effects do not automatically require 47 unique cues.</x:v>
      </x:c>
      <x:c r="I30" s="204" t="str">
        <x:v>Read Status Effects. Confirm each audio decision before making new sounds. The 47 gameplay effects do not automatically require 47 unique cues.</x:v>
      </x:c>
    </x:row>
    <x:row r="31" ht="52" customHeight="1">
      <x:c r="A31" s="154"/>
      <x:c r="B31" s="205" t="str">
        <x:v>2. Audit existing events</x:v>
      </x:c>
      <x:c r="C31" s="206" t="str">
        <x:v>Filter the tracker to Audit needed. Listen in Wwise and in Unity. Keep useful sounds, then set each row to the next actual stage.</x:v>
      </x:c>
      <x:c r="D31" s="206" t="str">
        <x:v>Filter the tracker to Audit needed. Listen in Wwise and in Unity. Keep useful sounds, then set each row to the next actual stage.</x:v>
      </x:c>
      <x:c r="E31" s="206" t="str">
        <x:v>Filter the tracker to Audit needed. Listen in Wwise and in Unity. Keep useful sounds, then set each row to the next actual stage.</x:v>
      </x:c>
      <x:c r="F31" s="206" t="str">
        <x:v>Filter the tracker to Audit needed. Listen in Wwise and in Unity. Keep useful sounds, then set each row to the next actual stage.</x:v>
      </x:c>
      <x:c r="G31" s="206" t="str">
        <x:v>Filter the tracker to Audit needed. Listen in Wwise and in Unity. Keep useful sounds, then set each row to the next actual stage.</x:v>
      </x:c>
      <x:c r="H31" s="206" t="str">
        <x:v>Filter the tracker to Audit needed. Listen in Wwise and in Unity. Keep useful sounds, then set each row to the next actual stage.</x:v>
      </x:c>
      <x:c r="I31" s="206" t="str">
        <x:v>Filter the tracker to Audit needed. Listen in Wwise and in Unity. Keep useful sounds, then set each row to the next actual stage.</x:v>
      </x:c>
    </x:row>
    <x:row r="32" ht="52" customHeight="1">
      <x:c r="A32" s="154"/>
      <x:c r="B32" s="205" t="str">
        <x:v>3. Plan a small batch</x:v>
      </x:c>
      <x:c r="C32" s="204" t="str">
        <x:v>Choose M1 tasks first. Enter an owner, due date and estimate. Suggested P1 means gameplay clarity, P2 means supporting feedback, P3 means optional polish.</x:v>
      </x:c>
      <x:c r="D32" s="204" t="str">
        <x:v>Choose M1 tasks first. Enter an owner, due date and estimate. Suggested P1 means gameplay clarity, P2 means supporting feedback, P3 means optional polish.</x:v>
      </x:c>
      <x:c r="E32" s="204" t="str">
        <x:v>Choose M1 tasks first. Enter an owner, due date and estimate. Suggested P1 means gameplay clarity, P2 means supporting feedback, P3 means optional polish.</x:v>
      </x:c>
      <x:c r="F32" s="204" t="str">
        <x:v>Choose M1 tasks first. Enter an owner, due date and estimate. Suggested P1 means gameplay clarity, P2 means supporting feedback, P3 means optional polish.</x:v>
      </x:c>
      <x:c r="G32" s="204" t="str">
        <x:v>Choose M1 tasks first. Enter an owner, due date and estimate. Suggested P1 means gameplay clarity, P2 means supporting feedback, P3 means optional polish.</x:v>
      </x:c>
      <x:c r="H32" s="204" t="str">
        <x:v>Choose M1 tasks first. Enter an owner, due date and estimate. Suggested P1 means gameplay clarity, P2 means supporting feedback, P3 means optional polish.</x:v>
      </x:c>
      <x:c r="I32" s="204" t="str">
        <x:v>Choose M1 tasks first. Enter an owner, due date and estimate. Suggested P1 means gameplay clarity, P2 means supporting feedback, P3 means optional polish.</x:v>
      </x:c>
    </x:row>
    <x:row r="33" ht="52" customHeight="1">
      <x:c r="A33" s="154"/>
      <x:c r="B33" s="205" t="str">
        <x:v>4. Produce and review</x:v>
      </x:c>
      <x:c r="C33" s="206" t="str">
        <x:v>Work through Brief, Design and Review. Record the DAW session, export location and variation count. Put review feedback in Blocker or next action.</x:v>
      </x:c>
      <x:c r="D33" s="206" t="str">
        <x:v>Work through Brief, Design and Review. Record the DAW session, export location and variation count. Put review feedback in Blocker or next action.</x:v>
      </x:c>
      <x:c r="E33" s="206" t="str">
        <x:v>Work through Brief, Design and Review. Record the DAW session, export location and variation count. Put review feedback in Blocker or next action.</x:v>
      </x:c>
      <x:c r="F33" s="206" t="str">
        <x:v>Work through Brief, Design and Review. Record the DAW session, export location and variation count. Put review feedback in Blocker or next action.</x:v>
      </x:c>
      <x:c r="G33" s="206" t="str">
        <x:v>Work through Brief, Design and Review. Record the DAW session, export location and variation count. Put review feedback in Blocker or next action.</x:v>
      </x:c>
      <x:c r="H33" s="206" t="str">
        <x:v>Work through Brief, Design and Review. Record the DAW session, export location and variation count. Put review feedback in Blocker or next action.</x:v>
      </x:c>
      <x:c r="I33" s="206" t="str">
        <x:v>Work through Brief, Design and Review. Record the DAW session, export location and variation count. Put review feedback in Blocker or next action.</x:v>
      </x:c>
    </x:row>
    <x:row r="34" ht="52" customHeight="1">
      <x:c r="A34" s="154"/>
      <x:c r="B34" s="205" t="str">
        <x:v>5. Implement</x:v>
      </x:c>
      <x:c r="C34" s="204" t="str">
        <x:v>Assign the event in Unity and confirm the trigger. Generate SoundBanks for the target platforms using the project workflow. Move the task to QA.</x:v>
      </x:c>
      <x:c r="D34" s="204" t="str">
        <x:v>Assign the event in Unity and confirm the trigger. Generate SoundBanks for the target platforms using the project workflow. Move the task to QA.</x:v>
      </x:c>
      <x:c r="E34" s="204" t="str">
        <x:v>Assign the event in Unity and confirm the trigger. Generate SoundBanks for the target platforms using the project workflow. Move the task to QA.</x:v>
      </x:c>
      <x:c r="F34" s="204" t="str">
        <x:v>Assign the event in Unity and confirm the trigger. Generate SoundBanks for the target platforms using the project workflow. Move the task to QA.</x:v>
      </x:c>
      <x:c r="G34" s="204" t="str">
        <x:v>Assign the event in Unity and confirm the trigger. Generate SoundBanks for the target platforms using the project workflow. Move the task to QA.</x:v>
      </x:c>
      <x:c r="H34" s="204" t="str">
        <x:v>Assign the event in Unity and confirm the trigger. Generate SoundBanks for the target platforms using the project workflow. Move the task to QA.</x:v>
      </x:c>
      <x:c r="I34" s="204" t="str">
        <x:v>Assign the event in Unity and confirm the trigger. Generate SoundBanks for the target platforms using the project workflow. Move the task to QA.</x:v>
      </x:c>
    </x:row>
    <x:row r="35" ht="52" customHeight="1">
      <x:c r="A35" s="154"/>
      <x:c r="B35" s="205" t="str">
        <x:v>6. Test and finish</x:v>
      </x:c>
      <x:c r="C35" s="206" t="str">
        <x:v>Run the acceptance test in the tracker. Record the build, date and result in QA log. Use Done only after QA passes and the reviewer accepts the result.</x:v>
      </x:c>
      <x:c r="D35" s="206" t="str">
        <x:v>Run the acceptance test in the tracker. Record the build, date and result in QA log. Use Done only after QA passes and the reviewer accepts the result.</x:v>
      </x:c>
      <x:c r="E35" s="206" t="str">
        <x:v>Run the acceptance test in the tracker. Record the build, date and result in QA log. Use Done only after QA passes and the reviewer accepts the result.</x:v>
      </x:c>
      <x:c r="F35" s="206" t="str">
        <x:v>Run the acceptance test in the tracker. Record the build, date and result in QA log. Use Done only after QA passes and the reviewer accepts the result.</x:v>
      </x:c>
      <x:c r="G35" s="206" t="str">
        <x:v>Run the acceptance test in the tracker. Record the build, date and result in QA log. Use Done only after QA passes and the reviewer accepts the result.</x:v>
      </x:c>
      <x:c r="H35" s="206" t="str">
        <x:v>Run the acceptance test in the tracker. Record the build, date and result in QA log. Use Done only after QA passes and the reviewer accepts the result.</x:v>
      </x:c>
      <x:c r="I35" s="206" t="str">
        <x:v>Run the acceptance test in the tracker. Record the build, date and result in QA log. Use Done only after QA passes and the reviewer accepts the result.</x:v>
      </x:c>
    </x:row>
    <x:row r="36" ht="52" customHeight="1">
      <x:c r="A36" s="154"/>
      <x:c r="B36" s="205" t="str">
        <x:v>Daily</x:v>
      </x:c>
      <x:c r="C36" s="204" t="str">
        <x:v>Update the stage and actual hours for the rows you touched. Write a specific next action when blocked, including the person or asset needed.</x:v>
      </x:c>
      <x:c r="D36" s="204" t="str">
        <x:v>Update the stage and actual hours for the rows you touched. Write a specific next action when blocked, including the person or asset needed.</x:v>
      </x:c>
      <x:c r="E36" s="204" t="str">
        <x:v>Update the stage and actual hours for the rows you touched. Write a specific next action when blocked, including the person or asset needed.</x:v>
      </x:c>
      <x:c r="F36" s="204" t="str">
        <x:v>Update the stage and actual hours for the rows you touched. Write a specific next action when blocked, including the person or asset needed.</x:v>
      </x:c>
      <x:c r="G36" s="204" t="str">
        <x:v>Update the stage and actual hours for the rows you touched. Write a specific next action when blocked, including the person or asset needed.</x:v>
      </x:c>
      <x:c r="H36" s="204" t="str">
        <x:v>Update the stage and actual hours for the rows you touched. Write a specific next action when blocked, including the person or asset needed.</x:v>
      </x:c>
      <x:c r="I36" s="204" t="str">
        <x:v>Update the stage and actual hours for the rows you touched. Write a specific next action when blocked, including the person or asset needed.</x:v>
      </x:c>
    </x:row>
    <x:row r="37" ht="52" customHeight="1">
      <x:c r="A37" s="154"/>
      <x:c r="B37" s="205" t="str">
        <x:v>Weekly</x:v>
      </x:c>
      <x:c r="C37" s="206" t="str">
        <x:v>Review milestone dates, unfinished P1 tasks and open defects with the team. Adjust scope or dates when dependencies change.</x:v>
      </x:c>
      <x:c r="D37" s="206" t="str">
        <x:v>Review milestone dates, unfinished P1 tasks and open defects with the team. Adjust scope or dates when dependencies change.</x:v>
      </x:c>
      <x:c r="E37" s="206" t="str">
        <x:v>Review milestone dates, unfinished P1 tasks and open defects with the team. Adjust scope or dates when dependencies change.</x:v>
      </x:c>
      <x:c r="F37" s="206" t="str">
        <x:v>Review milestone dates, unfinished P1 tasks and open defects with the team. Adjust scope or dates when dependencies change.</x:v>
      </x:c>
      <x:c r="G37" s="206" t="str">
        <x:v>Review milestone dates, unfinished P1 tasks and open defects with the team. Adjust scope or dates when dependencies change.</x:v>
      </x:c>
      <x:c r="H37" s="206" t="str">
        <x:v>Review milestone dates, unfinished P1 tasks and open defects with the team. Adjust scope or dates when dependencies change.</x:v>
      </x:c>
      <x:c r="I37" s="206" t="str">
        <x:v>Review milestone dates, unfinished P1 tasks and open defects with the team. Adjust scope or dates when dependencies change.</x:v>
      </x:c>
    </x:row>
    <x:row r="38" ht="52" customHeight="1">
      <x:c r="A38" s="154"/>
      <x:c r="B38" s="205" t="str">
        <x:v>Stage meanings</x:v>
      </x:c>
      <x:c r="C38" s="204" t="str">
        <x:v>Audit needed = inspect current work. Brief = agree the sound. Design = create it. Review = gather feedback. Implement = connect it. QA = test it. Done = accepted. Deferred = out of current scope.</x:v>
      </x:c>
      <x:c r="D38" s="204" t="str">
        <x:v>Audit needed = inspect current work. Brief = agree the sound. Design = create it. Review = gather feedback. Implement = connect it. QA = test it. Done = accepted. Deferred = out of current scope.</x:v>
      </x:c>
      <x:c r="E38" s="204" t="str">
        <x:v>Audit needed = inspect current work. Brief = agree the sound. Design = create it. Review = gather feedback. Implement = connect it. QA = test it. Done = accepted. Deferred = out of current scope.</x:v>
      </x:c>
      <x:c r="F38" s="204" t="str">
        <x:v>Audit needed = inspect current work. Brief = agree the sound. Design = create it. Review = gather feedback. Implement = connect it. QA = test it. Done = accepted. Deferred = out of current scope.</x:v>
      </x:c>
      <x:c r="G38" s="204" t="str">
        <x:v>Audit needed = inspect current work. Brief = agree the sound. Design = create it. Review = gather feedback. Implement = connect it. QA = test it. Done = accepted. Deferred = out of current scope.</x:v>
      </x:c>
      <x:c r="H38" s="204" t="str">
        <x:v>Audit needed = inspect current work. Brief = agree the sound. Design = create it. Review = gather feedback. Implement = connect it. QA = test it. Done = accepted. Deferred = out of current scope.</x:v>
      </x:c>
      <x:c r="I38" s="204" t="str">
        <x:v>Audit needed = inspect current work. Brief = agree the sound. Design = create it. Review = gather feedback. Implement = connect it. QA = test it. Done = accepted. Deferred = out of current scope.</x:v>
      </x:c>
    </x:row>
    <x:row r="39" ht="52" customHeight="1">
      <x:c r="A39" s="154"/>
      <x:c r="B39" s="205" t="str">
        <x:v>Naming</x:v>
      </x:c>
      <x:c r="C39" s="206" t="str">
        <x:v>Keep existing event names. New events can use Play_&lt;Category&gt;_&lt;Purpose&gt;. Use numbered lowercase variations, such as sfx_jump_01. Do not rename source WAVs merely to match an event.</x:v>
      </x:c>
      <x:c r="D39" s="206" t="str">
        <x:v>Keep existing event names. New events can use Play_&lt;Category&gt;_&lt;Purpose&gt;. Use numbered lowercase variations, such as sfx_jump_01. Do not rename source WAVs merely to match an event.</x:v>
      </x:c>
      <x:c r="E39" s="206" t="str">
        <x:v>Keep existing event names. New events can use Play_&lt;Category&gt;_&lt;Purpose&gt;. Use numbered lowercase variations, such as sfx_jump_01. Do not rename source WAVs merely to match an event.</x:v>
      </x:c>
      <x:c r="F39" s="206" t="str">
        <x:v>Keep existing event names. New events can use Play_&lt;Category&gt;_&lt;Purpose&gt;. Use numbered lowercase variations, such as sfx_jump_01. Do not rename source WAVs merely to match an event.</x:v>
      </x:c>
      <x:c r="G39" s="206" t="str">
        <x:v>Keep existing event names. New events can use Play_&lt;Category&gt;_&lt;Purpose&gt;. Use numbered lowercase variations, such as sfx_jump_01. Do not rename source WAVs merely to match an event.</x:v>
      </x:c>
      <x:c r="H39" s="206" t="str">
        <x:v>Keep existing event names. New events can use Play_&lt;Category&gt;_&lt;Purpose&gt;. Use numbered lowercase variations, such as sfx_jump_01. Do not rename source WAVs merely to match an event.</x:v>
      </x:c>
      <x:c r="I39" s="206" t="str">
        <x:v>Keep existing event names. New events can use Play_&lt;Category&gt;_&lt;Purpose&gt;. Use numbered lowercase variations, such as sfx_jump_01. Do not rename source WAVs merely to match an event.</x:v>
      </x:c>
    </x:row>
    <x:row r="40" ht="52" customHeight="1">
      <x:c r="A40" s="154"/>
      <x:c r="B40" s="205" t="str">
        <x:v>Categories</x:v>
      </x:c>
      <x:c r="C40" s="204" t="str">
        <x:v>SFX uses orange, UI blue, ambience olive, music indigo and dialogue pink. The category column follows the repository naming document.</x:v>
      </x:c>
      <x:c r="D40" s="204" t="str">
        <x:v>SFX uses orange, UI blue, ambience olive, music indigo and dialogue pink. The category column follows the repository naming document.</x:v>
      </x:c>
      <x:c r="E40" s="204" t="str">
        <x:v>SFX uses orange, UI blue, ambience olive, music indigo and dialogue pink. The category column follows the repository naming document.</x:v>
      </x:c>
      <x:c r="F40" s="204" t="str">
        <x:v>SFX uses orange, UI blue, ambience olive, music indigo and dialogue pink. The category column follows the repository naming document.</x:v>
      </x:c>
      <x:c r="G40" s="204" t="str">
        <x:v>SFX uses orange, UI blue, ambience olive, music indigo and dialogue pink. The category column follows the repository naming document.</x:v>
      </x:c>
      <x:c r="H40" s="204" t="str">
        <x:v>SFX uses orange, UI blue, ambience olive, music indigo and dialogue pink. The category column follows the repository naming document.</x:v>
      </x:c>
      <x:c r="I40" s="204" t="str">
        <x:v>SFX uses orange, UI blue, ambience olive, music indigo and dialogue pink. The category column follows the repository naming document.</x:v>
      </x:c>
    </x:row>
    <x:row r="41" ht="52" customHeight="1">
      <x:c r="A41" s="154"/>
      <x:c r="B41" s="205" t="str">
        <x:v>Project handoff</x:v>
      </x:c>
      <x:c r="C41" s="206" t="str">
        <x:v>Keep DAW source and exported audio discoverable through the tracker. Confirm export specifications with the project before batch exporting. Existing repository rules take priority.</x:v>
      </x:c>
      <x:c r="D41" s="206" t="str">
        <x:v>Keep DAW source and exported audio discoverable through the tracker. Confirm export specifications with the project before batch exporting. Existing repository rules take priority.</x:v>
      </x:c>
      <x:c r="E41" s="206" t="str">
        <x:v>Keep DAW source and exported audio discoverable through the tracker. Confirm export specifications with the project before batch exporting. Existing repository rules take priority.</x:v>
      </x:c>
      <x:c r="F41" s="206" t="str">
        <x:v>Keep DAW source and exported audio discoverable through the tracker. Confirm export specifications with the project before batch exporting. Existing repository rules take priority.</x:v>
      </x:c>
      <x:c r="G41" s="206" t="str">
        <x:v>Keep DAW source and exported audio discoverable through the tracker. Confirm export specifications with the project before batch exporting. Existing repository rules take priority.</x:v>
      </x:c>
      <x:c r="H41" s="206" t="str">
        <x:v>Keep DAW source and exported audio discoverable through the tracker. Confirm export specifications with the project before batch exporting. Existing repository rules take priority.</x:v>
      </x:c>
      <x:c r="I41" s="206" t="str">
        <x:v>Keep DAW source and exported audio discoverable through the tracker. Confirm export specifications with the project before batch exporting. Existing repository rules take priority.</x:v>
      </x:c>
    </x:row>
    <x:row r="42" ht="52" customHeight="1">
      <x:c r="A42" s="154"/>
      <x:c r="B42" s="205" t="str">
        <x:v>Counts and capacity</x:v>
      </x:c>
      <x:c r="C42" s="204" t="str">
        <x:v>The tracker contains 24 existing events and 6 proposed audio decisions. Summary formulas and dropdowns cover rows 5 through 204. Extend those ranges if the tracker grows beyond 200 entries.</x:v>
      </x:c>
      <x:c r="D42" s="204" t="str">
        <x:v>The tracker contains 24 existing events and 6 proposed audio decisions. Summary formulas and dropdowns cover rows 5 through 204. Extend those ranges if the tracker grows beyond 200 entries.</x:v>
      </x:c>
      <x:c r="E42" s="204" t="str">
        <x:v>The tracker contains 24 existing events and 6 proposed audio decisions. Summary formulas and dropdowns cover rows 5 through 204. Extend those ranges if the tracker grows beyond 200 entries.</x:v>
      </x:c>
      <x:c r="F42" s="204" t="str">
        <x:v>The tracker contains 24 existing events and 6 proposed audio decisions. Summary formulas and dropdowns cover rows 5 through 204. Extend those ranges if the tracker grows beyond 200 entries.</x:v>
      </x:c>
      <x:c r="G42" s="204" t="str">
        <x:v>The tracker contains 24 existing events and 6 proposed audio decisions. Summary formulas and dropdowns cover rows 5 through 204. Extend those ranges if the tracker grows beyond 200 entries.</x:v>
      </x:c>
      <x:c r="H42" s="204" t="str">
        <x:v>The tracker contains 24 existing events and 6 proposed audio decisions. Summary formulas and dropdowns cover rows 5 through 204. Extend those ranges if the tracker grows beyond 200 entries.</x:v>
      </x:c>
      <x:c r="I42" s="204" t="str">
        <x:v>The tracker contains 24 existing events and 6 proposed audio decisions. Summary formulas and dropdowns cover rows 5 through 204. Extend those ranges if the tracker grows beyond 200 entries.</x:v>
      </x:c>
    </x:row>
    <x:row r="43" ht="52" customHeight="1">
      <x:c r="A43" s="154"/>
      <x:c r="B43" s="205" t="str">
        <x:v>Reading totals</x:v>
      </x:c>
      <x:c r="C43" s="206" t="str">
        <x:v>Milestones count task rows. Stop events and decisions also count as tasks. This is not a WAV count. Deferred tasks remain assigned until you change their milestone.</x:v>
      </x:c>
      <x:c r="D43" s="206" t="str">
        <x:v>Milestones count task rows. Stop events and decisions also count as tasks. This is not a WAV count. Deferred tasks remain assigned until you change their milestone.</x:v>
      </x:c>
      <x:c r="E43" s="206" t="str">
        <x:v>Milestones count task rows. Stop events and decisions also count as tasks. This is not a WAV count. Deferred tasks remain assigned until you change their milestone.</x:v>
      </x:c>
      <x:c r="F43" s="206" t="str">
        <x:v>Milestones count task rows. Stop events and decisions also count as tasks. This is not a WAV count. Deferred tasks remain assigned until you change their milestone.</x:v>
      </x:c>
      <x:c r="G43" s="206" t="str">
        <x:v>Milestones count task rows. Stop events and decisions also count as tasks. This is not a WAV count. Deferred tasks remain assigned until you change their milestone.</x:v>
      </x:c>
      <x:c r="H43" s="206" t="str">
        <x:v>Milestones count task rows. Stop events and decisions also count as tasks. This is not a WAV count. Deferred tasks remain assigned until you change their milestone.</x:v>
      </x:c>
      <x:c r="I43" s="206" t="str">
        <x:v>Milestones count task rows. Stop events and decisions also count as tasks. This is not a WAV count. Deferred tasks remain assigned until you change their milestone.</x:v>
      </x:c>
    </x:row>
    <x:row r="44" ht="52" customHeight="1">
      <x:c r="A44" s="154"/>
      <x:c r="B44" s="205" t="str">
        <x:v>Using Google Sheets</x:v>
      </x:c>
      <x:c r="C44" s="204" t="str">
        <x:v>The tracker opens with everyday fields visible. Use the arrows above hidden columns to reveal production details.</x:v>
      </x:c>
      <x:c r="D44" s="204" t="str">
        <x:v>The tracker opens with everyday fields visible. Use the arrows above hidden columns to reveal production details.</x:v>
      </x:c>
      <x:c r="E44" s="204" t="str">
        <x:v>The tracker opens with everyday fields visible. Use the arrows above hidden columns to reveal production details.</x:v>
      </x:c>
      <x:c r="F44" s="204" t="str">
        <x:v>The tracker opens with everyday fields visible. Use the arrows above hidden columns to reveal production details.</x:v>
      </x:c>
      <x:c r="G44" s="204" t="str">
        <x:v>The tracker opens with everyday fields visible. Use the arrows above hidden columns to reveal production details.</x:v>
      </x:c>
      <x:c r="H44" s="204" t="str">
        <x:v>The tracker opens with everyday fields visible. Use the arrows above hidden columns to reveal production details.</x:v>
      </x:c>
      <x:c r="I44" s="204" t="str">
        <x:v>The tracker opens with everyday fields visible. Use the arrows above hidden columns to reveal production details.</x:v>
      </x:c>
    </x:row>
    <x:row r="45" ht="52" customHeight="1">
      <x:c r="A45" s="154"/>
      <x:c r="B45" s="205" t="str">
        <x:v>Guide used</x:v>
      </x:c>
      <x:c r="C45" s="206" t="str">
        <x:v>Greg Lester recommends milestone deliverables, ongoing tracking, a process covering creation through QA, and clear communication about dependencies. This workbook applies that approach to the current project.</x:v>
      </x:c>
      <x:c r="D45" s="206" t="str">
        <x:v>Greg Lester recommends milestone deliverables, ongoing tracking, a process covering creation through QA, and clear communication about dependencies. This workbook applies that approach to the current project.</x:v>
      </x:c>
      <x:c r="E45" s="206" t="str">
        <x:v>Greg Lester recommends milestone deliverables, ongoing tracking, a process covering creation through QA, and clear communication about dependencies. This workbook applies that approach to the current project.</x:v>
      </x:c>
      <x:c r="F45" s="206" t="str">
        <x:v>Greg Lester recommends milestone deliverables, ongoing tracking, a process covering creation through QA, and clear communication about dependencies. This workbook applies that approach to the current project.</x:v>
      </x:c>
      <x:c r="G45" s="206" t="str">
        <x:v>Greg Lester recommends milestone deliverables, ongoing tracking, a process covering creation through QA, and clear communication about dependencies. This workbook applies that approach to the current project.</x:v>
      </x:c>
      <x:c r="H45" s="206" t="str">
        <x:v>Greg Lester recommends milestone deliverables, ongoing tracking, a process covering creation through QA, and clear communication about dependencies. This workbook applies that approach to the current project.</x:v>
      </x:c>
      <x:c r="I45" s="206" t="str">
        <x:v>Greg Lester recommends milestone deliverables, ongoing tracking, a process covering creation through QA, and clear communication about dependencies. This workbook applies that approach to the current project.</x:v>
      </x:c>
    </x:row>
    <x:row r="46" ht="52" customHeight="1">
      <x:c r="A46" s="154"/>
      <x:c r="B46" s="205" t="str">
        <x:v>Guide source</x:v>
      </x:c>
      <x:c r="C46" s="204" t="str">
        <x:v>https://www.gameaudiolearning.com/knowledgebase/organisation-and-pipelines-in-game-audio</x:v>
      </x:c>
      <x:c r="D46" s="204" t="str">
        <x:v>https://www.gameaudiolearning.com/knowledgebase/organisation-and-pipelines-in-game-audio</x:v>
      </x:c>
      <x:c r="E46" s="204" t="str">
        <x:v>https://www.gameaudiolearning.com/knowledgebase/organisation-and-pipelines-in-game-audio</x:v>
      </x:c>
      <x:c r="F46" s="204" t="str">
        <x:v>https://www.gameaudiolearning.com/knowledgebase/organisation-and-pipelines-in-game-audio</x:v>
      </x:c>
      <x:c r="G46" s="204" t="str">
        <x:v>https://www.gameaudiolearning.com/knowledgebase/organisation-and-pipelines-in-game-audio</x:v>
      </x:c>
      <x:c r="H46" s="204" t="str">
        <x:v>https://www.gameaudiolearning.com/knowledgebase/organisation-and-pipelines-in-game-audio</x:v>
      </x:c>
      <x:c r="I46" s="204" t="str">
        <x:v>https://www.gameaudiolearning.com/knowledgebase/organisation-and-pipelines-in-game-audio</x:v>
      </x:c>
    </x:row>
    <x:row r="47" ht="52" customHeight="1">
      <x:c r="A47" s="154"/>
      <x:c r="B47" s="205" t="str">
        <x:v>Reference source</x:v>
      </x:c>
      <x:c r="C47" s="206" t="str">
        <x:v>https://docs.google.com/spreadsheets/d/1lH4REzOzEWdbly2fVlv_ipqxtSUB278GweZunWTa760/edit</x:v>
      </x:c>
      <x:c r="D47" s="206" t="str">
        <x:v>https://docs.google.com/spreadsheets/d/1lH4REzOzEWdbly2fVlv_ipqxtSUB278GweZunWTa760/edit</x:v>
      </x:c>
      <x:c r="E47" s="206" t="str">
        <x:v>https://docs.google.com/spreadsheets/d/1lH4REzOzEWdbly2fVlv_ipqxtSUB278GweZunWTa760/edit</x:v>
      </x:c>
      <x:c r="F47" s="206" t="str">
        <x:v>https://docs.google.com/spreadsheets/d/1lH4REzOzEWdbly2fVlv_ipqxtSUB278GweZunWTa760/edit</x:v>
      </x:c>
      <x:c r="G47" s="206" t="str">
        <x:v>https://docs.google.com/spreadsheets/d/1lH4REzOzEWdbly2fVlv_ipqxtSUB278GweZunWTa760/edit</x:v>
      </x:c>
      <x:c r="H47" s="206" t="str">
        <x:v>https://docs.google.com/spreadsheets/d/1lH4REzOzEWdbly2fVlv_ipqxtSUB278GweZunWTa760/edit</x:v>
      </x:c>
      <x:c r="I47" s="206" t="str">
        <x:v>https://docs.google.com/spreadsheets/d/1lH4REzOzEWdbly2fVlv_ipqxtSUB278GweZunWTa760/edit</x:v>
      </x:c>
    </x:row>
    <x:row r="48" ht="52" customHeight="1">
      <x:c r="A48" s="154"/>
      <x:c r="B48" s="205" t="str">
        <x:v>Project sources</x:v>
      </x:c>
      <x:c r="C48" s="204" t="str">
        <x:v>Current Wwise Events work units, the repository document Wwise naming and colors, and PlayerAudioFeedback / GameAudioController. Snapshot read September 20, 2026.</x:v>
      </x:c>
      <x:c r="D48" s="204" t="str">
        <x:v>Current Wwise Events work units, the repository document Wwise naming and colors, and PlayerAudioFeedback / GameAudioController. Snapshot read September 20, 2026.</x:v>
      </x:c>
      <x:c r="E48" s="204" t="str">
        <x:v>Current Wwise Events work units, the repository document Wwise naming and colors, and PlayerAudioFeedback / GameAudioController. Snapshot read September 20, 2026.</x:v>
      </x:c>
      <x:c r="F48" s="204" t="str">
        <x:v>Current Wwise Events work units, the repository document Wwise naming and colors, and PlayerAudioFeedback / GameAudioController. Snapshot read September 20, 2026.</x:v>
      </x:c>
      <x:c r="G48" s="204" t="str">
        <x:v>Current Wwise Events work units, the repository document Wwise naming and colors, and PlayerAudioFeedback / GameAudioController. Snapshot read September 20, 2026.</x:v>
      </x:c>
      <x:c r="H48" s="204" t="str">
        <x:v>Current Wwise Events work units, the repository document Wwise naming and colors, and PlayerAudioFeedback / GameAudioController. Snapshot read September 20, 2026.</x:v>
      </x:c>
      <x:c r="I48" s="204" t="str">
        <x:v>Current Wwise Events work units, the repository document Wwise naming and colors, and PlayerAudioFeedback / GameAudioController. Snapshot read September 20, 2026.</x:v>
      </x:c>
    </x:row>
    <x:row r="49" ht="52" customHeight="1">
      <x:c r="A49" s="154"/>
      <x:c r="B49" s="205" t="str">
        <x:v>Scope notes</x:v>
      </x:c>
      <x:c r="C49" s="206" t="str">
        <x:v>Status-effect descriptions and class names come from the reference. Blank classes remain blank. Suggested sounds, priorities, tests and milestone assignments need team review. No gameplay listening test was performed.</x:v>
      </x:c>
      <x:c r="D49" s="206" t="str">
        <x:v>Status-effect descriptions and class names come from the reference. Blank classes remain blank. Suggested sounds, priorities, tests and milestone assignments need team review. No gameplay listening test was performed.</x:v>
      </x:c>
      <x:c r="E49" s="206" t="str">
        <x:v>Status-effect descriptions and class names come from the reference. Blank classes remain blank. Suggested sounds, priorities, tests and milestone assignments need team review. No gameplay listening test was performed.</x:v>
      </x:c>
      <x:c r="F49" s="206" t="str">
        <x:v>Status-effect descriptions and class names come from the reference. Blank classes remain blank. Suggested sounds, priorities, tests and milestone assignments need team review. No gameplay listening test was performed.</x:v>
      </x:c>
      <x:c r="G49" s="206" t="str">
        <x:v>Status-effect descriptions and class names come from the reference. Blank classes remain blank. Suggested sounds, priorities, tests and milestone assignments need team review. No gameplay listening test was performed.</x:v>
      </x:c>
      <x:c r="H49" s="206" t="str">
        <x:v>Status-effect descriptions and class names come from the reference. Blank classes remain blank. Suggested sounds, priorities, tests and milestone assignments need team review. No gameplay listening test was performed.</x:v>
      </x:c>
      <x:c r="I49" s="206" t="str">
        <x:v>Status-effect descriptions and class names come from the reference. Blank classes remain blank. Suggested sounds, priorities, tests and milestone assignments need team review. No gameplay listening test was performed.</x:v>
      </x:c>
    </x:row>
    <x:row r="50" ht="24" customHeight="1">
      <x:c r="A50" s="154"/>
      <x:c r="B50" s="154"/>
      <x:c r="C50" s="154"/>
      <x:c r="D50" s="154"/>
      <x:c r="E50" s="154"/>
      <x:c r="F50" s="154"/>
      <x:c r="G50" s="154"/>
      <x:c r="H50" s="154"/>
      <x:c r="I50" s="154"/>
    </x:row>
    <x:row r="51" ht="24" customHeight="1">
      <x:c r="A51" s="154"/>
      <x:c r="B51" s="154"/>
      <x:c r="C51" s="154"/>
      <x:c r="D51" s="154"/>
      <x:c r="E51" s="154"/>
      <x:c r="F51" s="154"/>
      <x:c r="G51" s="154"/>
      <x:c r="H51" s="154"/>
      <x:c r="I51" s="154"/>
    </x:row>
    <x:row r="52" ht="24" customHeight="1">
      <x:c r="A52" s="154"/>
      <x:c r="B52" s="154"/>
      <x:c r="C52" s="154"/>
      <x:c r="D52" s="154"/>
      <x:c r="E52" s="154"/>
      <x:c r="F52" s="154"/>
      <x:c r="G52" s="154"/>
      <x:c r="H52" s="154"/>
      <x:c r="I52" s="154"/>
    </x:row>
    <x:row r="53" ht="24" customHeight="1">
      <x:c r="A53" s="154"/>
      <x:c r="B53" s="154"/>
      <x:c r="C53" s="154"/>
      <x:c r="D53" s="154"/>
      <x:c r="E53" s="154"/>
      <x:c r="F53" s="154"/>
      <x:c r="G53" s="154"/>
      <x:c r="H53" s="154"/>
      <x:c r="I53" s="154"/>
    </x:row>
    <x:row r="54" ht="24" customHeight="1">
      <x:c r="A54" s="154"/>
      <x:c r="B54" s="154"/>
      <x:c r="C54" s="154"/>
      <x:c r="D54" s="154"/>
      <x:c r="E54" s="154"/>
      <x:c r="F54" s="154"/>
      <x:c r="G54" s="154"/>
      <x:c r="H54" s="154"/>
      <x:c r="I54" s="154"/>
    </x:row>
    <x:row r="55" ht="24" customHeight="1">
      <x:c r="A55" s="154"/>
      <x:c r="B55" s="154"/>
      <x:c r="C55" s="154"/>
      <x:c r="D55" s="154"/>
      <x:c r="E55" s="154"/>
      <x:c r="F55" s="154"/>
      <x:c r="G55" s="154"/>
      <x:c r="H55" s="154"/>
      <x:c r="I55" s="154"/>
    </x:row>
    <x:row r="56" ht="24" customHeight="1">
      <x:c r="A56" s="154"/>
      <x:c r="B56" s="154"/>
      <x:c r="C56" s="154"/>
      <x:c r="D56" s="154"/>
      <x:c r="E56" s="154"/>
      <x:c r="F56" s="154"/>
      <x:c r="G56" s="154"/>
      <x:c r="H56" s="154"/>
      <x:c r="I56" s="154"/>
    </x:row>
    <x:row r="57" ht="24" customHeight="1">
      <x:c r="A57" s="154"/>
      <x:c r="B57" s="154"/>
      <x:c r="C57" s="154"/>
      <x:c r="D57" s="154"/>
      <x:c r="E57" s="154"/>
      <x:c r="F57" s="154"/>
      <x:c r="G57" s="154"/>
      <x:c r="H57" s="154"/>
      <x:c r="I57" s="154"/>
    </x:row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:I3"/>
    <x:mergeCell ref="B4:I4"/>
    <x:mergeCell ref="B6:C6"/>
    <x:mergeCell ref="E6:F6"/>
    <x:mergeCell ref="H6:I6"/>
    <x:mergeCell ref="B7:C8"/>
    <x:mergeCell ref="E7:F8"/>
    <x:mergeCell ref="H7:I8"/>
    <x:mergeCell ref="B10:I10"/>
    <x:mergeCell ref="B11:C11"/>
    <x:mergeCell ref="E11:F11"/>
    <x:mergeCell ref="H11:I11"/>
    <x:mergeCell ref="B12:C14"/>
    <x:mergeCell ref="E12:F14"/>
    <x:mergeCell ref="H12:I14"/>
    <x:mergeCell ref="B16:I16"/>
    <x:mergeCell ref="B17:C18"/>
    <x:mergeCell ref="E17:F18"/>
    <x:mergeCell ref="H17:I18"/>
    <x:mergeCell ref="B20:C21"/>
    <x:mergeCell ref="E20:I21"/>
    <x:mergeCell ref="B23:I23"/>
    <x:mergeCell ref="B25:I25"/>
    <x:mergeCell ref="B29:I29"/>
    <x:mergeCell ref="C30:I30"/>
    <x:mergeCell ref="C31:I31"/>
    <x:mergeCell ref="C32:I32"/>
    <x:mergeCell ref="C33:I33"/>
    <x:mergeCell ref="C34:I34"/>
    <x:mergeCell ref="C35:I35"/>
    <x:mergeCell ref="C36:I36"/>
    <x:mergeCell ref="C37:I37"/>
    <x:mergeCell ref="C38:I38"/>
    <x:mergeCell ref="C39:I39"/>
    <x:mergeCell ref="C40:I40"/>
    <x:mergeCell ref="C41:I41"/>
    <x:mergeCell ref="C42:I42"/>
    <x:mergeCell ref="C43:I43"/>
    <x:mergeCell ref="C44:I44"/>
    <x:mergeCell ref="C45:I45"/>
    <x:mergeCell ref="C46:I46"/>
    <x:mergeCell ref="C47:I47"/>
    <x:mergeCell ref="C48:I48"/>
    <x:mergeCell ref="C49:I49"/>
  </x:mergeCells>
  <x:pageMargins left="0.7" right="0.7" top="0.75" bottom="0.75" header="0.3" footer="0.3"/>
</x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FF285B47"/>
  </ns0:sheetPr>
  <ns0:sheetViews>
    <ns0:sheetView showGridLines="0" workbookViewId="0">
      <ns0:pane xSplit="2" ySplit="4" topLeftCell="C5" activePane="bottomRight" state="frozen"/>
    </ns0:sheetView>
  </ns0:sheetViews>
  <ns0:sheetFormatPr defaultColWidth="12.630000114440918" defaultRowHeight="15"/>
  <ns0:cols>
    <ns0:col min="1" max="1" width="12" hidden="1" customWidth="1"/>
    <ns0:col min="2" max="2" width="27" hidden="0" customWidth="1"/>
    <ns0:col min="3" max="3" width="13" hidden="0" customWidth="1"/>
    <ns0:col min="4" max="4" width="10" hidden="0" customWidth="1"/>
    <ns0:col min="5" max="5" width="18" hidden="0" customWidth="1"/>
    <ns0:col min="6" max="6" width="15" hidden="0" customWidth="1"/>
    <ns0:col min="7" max="7" width="12" hidden="0" customWidth="1"/>
    <ns0:col min="8" max="8" width="14" hidden="0" customWidth="1"/>
    <ns0:col min="9" max="9" width="15" customWidth="1" hidden="1"/>
    <ns0:col min="10" max="10" width="14" customWidth="1" hidden="1"/>
    <ns0:col min="11" max="11" width="35" customWidth="1" hidden="1"/>
    <ns0:col min="12" max="12" width="42" customWidth="1" hidden="1"/>
    <ns0:col min="13" max="13" width="12" customWidth="1" hidden="1"/>
    <ns0:col min="14" max="14" width="30" customWidth="1" hidden="1"/>
    <ns0:col min="15" max="15" width="36" customWidth="1" hidden="1"/>
    <ns0:col min="16" max="16" width="58" customWidth="1" hidden="1"/>
    <ns0:col min="17" max="17" width="42" customWidth="1" hidden="1"/>
    <ns0:col min="18" max="18" width="15" customWidth="1" hidden="1"/>
    <ns0:col min="19" max="19" width="36" customWidth="1" hidden="1"/>
    <ns0:col min="20" max="20" width="45" customWidth="1" hidden="1"/>
    <ns0:col min="21" max="21" width="8.630000114440918" customWidth="1"/>
    <ns0:col min="22" max="22" width="8.630000114440918" customWidth="1"/>
    <ns0:col min="23" max="23" width="8.630000114440918" customWidth="1"/>
    <ns0:col min="24" max="24" width="8.630000114440918" customWidth="1"/>
    <ns0:col min="25" max="25" width="8.630000114440918" customWidth="1"/>
    <ns0:col min="26" max="26" width="8.630000114440918" customWidth="1"/>
  </ns0:cols>
  <ns0:sheetData>
    <ns0:row r="1" ht="40" customHeight="1">
      <ns0:c r="A1" s="108"/>
      <ns0:c r="B1" s="127" t="str">
        <ns0:v>Sound tracker</ns0:v>
      </ns0:c>
      <ns0:c r="C1" s="106"/>
      <ns0:c r="D1" s="106"/>
      <ns0:c r="E1" s="106"/>
      <ns0:c r="F1" s="106"/>
      <ns0:c r="G1" s="106"/>
      <ns0:c r="H1" s="106"/>
      <ns0:c r="I1" s="106"/>
      <ns0:c r="J1" s="106"/>
      <ns0:c r="K1" s="106"/>
      <ns0:c r="L1" s="106"/>
      <ns0:c r="M1" s="106"/>
      <ns0:c r="N1" s="106"/>
      <ns0:c r="O1" s="106"/>
      <ns0:c r="P1" s="106"/>
      <ns0:c r="Q1" s="106"/>
      <ns0:c r="R1" s="106"/>
      <ns0:c r="S1" s="106"/>
      <ns0:c r="T1" s="107"/>
    </ns0:row>
    <ns0:row r="2" ht="26" customHeight="1">
      <ns0:c r="A2" s="109"/>
      <ns0:c r="B2" s="128" t="str">
        <ns0:v>Choose one sound. Update its stage. Reveal columns I:T when you need production details.</ns0:v>
      </ns0:c>
      <ns0:c r="C2" s="61"/>
      <ns0:c r="D2" s="61"/>
      <ns0:c r="E2" s="61"/>
      <ns0:c r="F2" s="61"/>
      <ns0:c r="G2" s="61"/>
      <ns0:c r="H2" s="61"/>
      <ns0:c r="I2" s="61"/>
      <ns0:c r="J2" s="61"/>
      <ns0:c r="K2" s="61"/>
      <ns0:c r="L2" s="61"/>
      <ns0:c r="M2" s="61"/>
      <ns0:c r="N2" s="61"/>
      <ns0:c r="O2" s="61"/>
      <ns0:c r="P2" s="61"/>
      <ns0:c r="Q2" s="61"/>
      <ns0:c r="R2" s="61"/>
      <ns0:c r="S2" s="61"/>
      <ns0:c r="T2" s="62"/>
    </ns0:row>
    <ns0:row r="3" ht="10" customHeight="1">
      <ns0:c r="A3" s="60"/>
      <ns0:c r="B3" s="61"/>
      <ns0:c r="C3" s="61"/>
      <ns0:c r="D3" s="61"/>
      <ns0:c r="E3" s="61"/>
      <ns0:c r="F3" s="61"/>
      <ns0:c r="G3" s="61"/>
      <ns0:c r="H3" s="61"/>
      <ns0:c r="I3" s="61"/>
      <ns0:c r="J3" s="61"/>
      <ns0:c r="K3" s="61"/>
      <ns0:c r="L3" s="61"/>
      <ns0:c r="M3" s="61"/>
      <ns0:c r="N3" s="61"/>
      <ns0:c r="O3" s="61"/>
      <ns0:c r="P3" s="61"/>
      <ns0:c r="Q3" s="61"/>
      <ns0:c r="R3" s="61"/>
      <ns0:c r="S3" s="61"/>
      <ns0:c r="T3" s="62"/>
    </ns0:row>
    <ns0:row r="4" ht="34" customHeight="1">
      <ns0:c r="A4" s="102" t="s">
        <ns0:v>0</ns0:v>
      </ns0:c>
      <ns0:c r="B4" s="103" t="s">
        <ns0:v>1</ns0:v>
      </ns0:c>
      <ns0:c r="C4" s="103" t="s">
        <ns0:v>2</ns0:v>
      </ns0:c>
      <ns0:c r="D4" s="103" t="s">
        <ns0:v>3</ns0:v>
      </ns0:c>
      <ns0:c r="E4" s="103" t="s">
        <ns0:v>4</ns0:v>
      </ns0:c>
      <ns0:c r="F4" s="103" t="s">
        <ns0:v>5</ns0:v>
      </ns0:c>
      <ns0:c r="G4" s="103" t="s">
        <ns0:v>6</ns0:v>
      </ns0:c>
      <ns0:c r="H4" s="103" t="s">
        <ns0:v>7</ns0:v>
      </ns0:c>
      <ns0:c r="I4" s="103" t="s">
        <ns0:v>8</ns0:v>
      </ns0:c>
      <ns0:c r="J4" s="103" t="s">
        <ns0:v>9</ns0:v>
      </ns0:c>
      <ns0:c r="K4" s="103" t="s">
        <ns0:v>10</ns0:v>
      </ns0:c>
      <ns0:c r="L4" s="103" t="s">
        <ns0:v>11</ns0:v>
      </ns0:c>
      <ns0:c r="M4" s="103" t="s">
        <ns0:v>12</ns0:v>
      </ns0:c>
      <ns0:c r="N4" s="103" t="s">
        <ns0:v>13</ns0:v>
      </ns0:c>
      <ns0:c r="O4" s="103" t="s">
        <ns0:v>14</ns0:v>
      </ns0:c>
      <ns0:c r="P4" s="103" t="s">
        <ns0:v>15</ns0:v>
      </ns0:c>
      <ns0:c r="Q4" s="103" t="s">
        <ns0:v>16</ns0:v>
      </ns0:c>
      <ns0:c r="R4" s="103" t="s">
        <ns0:v>17</ns0:v>
      </ns0:c>
      <ns0:c r="S4" s="103" t="s">
        <ns0:v>18</ns0:v>
      </ns0:c>
      <ns0:c r="T4" s="104" t="s">
        <ns0:v>19</ns0:v>
      </ns0:c>
    </ns0:row>
    <ns0:row r="5" ht="42" customHeight="1">
      <ns0:c r="A5" s="90" t="s">
        <ns0:v>20</ns0:v>
      </ns0:c>
      <ns0:c r="B5" s="129" t="s">
        <ns0:v>21</ns0:v>
      </ns0:c>
      <ns0:c r="C5" s="91" t="s">
        <ns0:v>22</ns0:v>
      </ns0:c>
      <ns0:c r="D5" s="91" t="s">
        <ns0:v>23</ns0:v>
      </ns0:c>
      <ns0:c r="E5" s="91" t="s">
        <ns0:v>24</ns0:v>
      </ns0:c>
      <ns0:c r="F5" s="132"/>
      <ns0:c r="G5" s="132" t="s">
        <ns0:v>25</ns0:v>
      </ns0:c>
      <ns0:c r="H5" s="133"/>
      <ns0:c r="I5" s="93"/>
      <ns0:c r="J5" s="93"/>
      <ns0:c r="K5" s="91" t="s">
        <ns0:v>26</ns0:v>
      </ns0:c>
      <ns0:c r="L5" s="91" t="s">
        <ns0:v>27</ns0:v>
      </ns0:c>
      <ns0:c r="M5" s="94"/>
      <ns0:c r="N5" s="91"/>
      <ns0:c r="O5" s="91" t="s">
        <ns0:v>28</ns0:v>
      </ns0:c>
      <ns0:c r="P5" s="91" t="s">
        <ns0:v>29</ns0:v>
      </ns0:c>
      <ns0:c r="Q5" s="91"/>
      <ns0:c r="R5" s="91" t="s">
        <ns0:v>30</ns0:v>
      </ns0:c>
      <ns0:c r="S5" s="91" t="s">
        <ns0:v>31</ns0:v>
      </ns0:c>
      <ns0:c r="T5" s="95"/>
    </ns0:row>
    <ns0:row r="6" ht="42" customHeight="1">
      <ns0:c r="A6" s="78" t="s">
        <ns0:v>32</ns0:v>
      </ns0:c>
      <ns0:c r="B6" s="130" t="s">
        <ns0:v>33</ns0:v>
      </ns0:c>
      <ns0:c r="C6" s="79" t="s">
        <ns0:v>22</ns0:v>
      </ns0:c>
      <ns0:c r="D6" s="79" t="s">
        <ns0:v>23</ns0:v>
      </ns0:c>
      <ns0:c r="E6" s="79" t="s">
        <ns0:v>24</ns0:v>
      </ns0:c>
      <ns0:c r="F6" s="132"/>
      <ns0:c r="G6" s="132" t="s">
        <ns0:v>25</ns0:v>
      </ns0:c>
      <ns0:c r="H6" s="133"/>
      <ns0:c r="I6" s="81"/>
      <ns0:c r="J6" s="81"/>
      <ns0:c r="K6" s="79" t="s">
        <ns0:v>34</ns0:v>
      </ns0:c>
      <ns0:c r="L6" s="79" t="s">
        <ns0:v>35</ns0:v>
      </ns0:c>
      <ns0:c r="M6" s="82"/>
      <ns0:c r="N6" s="79"/>
      <ns0:c r="O6" s="79" t="s">
        <ns0:v>36</ns0:v>
      </ns0:c>
      <ns0:c r="P6" s="79" t="s">
        <ns0:v>37</ns0:v>
      </ns0:c>
      <ns0:c r="Q6" s="79"/>
      <ns0:c r="R6" s="79" t="s">
        <ns0:v>30</ns0:v>
      </ns0:c>
      <ns0:c r="S6" s="79" t="s">
        <ns0:v>31</ns0:v>
      </ns0:c>
      <ns0:c r="T6" s="83"/>
    </ns0:row>
    <ns0:row r="7" ht="42" customHeight="1">
      <ns0:c r="A7" s="90" t="s">
        <ns0:v>38</ns0:v>
      </ns0:c>
      <ns0:c r="B7" s="129" t="s">
        <ns0:v>39</ns0:v>
      </ns0:c>
      <ns0:c r="C7" s="91" t="s">
        <ns0:v>22</ns0:v>
      </ns0:c>
      <ns0:c r="D7" s="91" t="s">
        <ns0:v>23</ns0:v>
      </ns0:c>
      <ns0:c r="E7" s="91" t="s">
        <ns0:v>24</ns0:v>
      </ns0:c>
      <ns0:c r="F7" s="132"/>
      <ns0:c r="G7" s="132" t="s">
        <ns0:v>25</ns0:v>
      </ns0:c>
      <ns0:c r="H7" s="133"/>
      <ns0:c r="I7" s="93"/>
      <ns0:c r="J7" s="93"/>
      <ns0:c r="K7" s="91" t="s">
        <ns0:v>40</ns0:v>
      </ns0:c>
      <ns0:c r="L7" s="91" t="s">
        <ns0:v>41</ns0:v>
      </ns0:c>
      <ns0:c r="M7" s="94"/>
      <ns0:c r="N7" s="91"/>
      <ns0:c r="O7" s="91" t="s">
        <ns0:v>28</ns0:v>
      </ns0:c>
      <ns0:c r="P7" s="91" t="s">
        <ns0:v>29</ns0:v>
      </ns0:c>
      <ns0:c r="Q7" s="91"/>
      <ns0:c r="R7" s="91" t="s">
        <ns0:v>30</ns0:v>
      </ns0:c>
      <ns0:c r="S7" s="91" t="s">
        <ns0:v>31</ns0:v>
      </ns0:c>
      <ns0:c r="T7" s="95"/>
    </ns0:row>
    <ns0:row r="8" ht="42" customHeight="1">
      <ns0:c r="A8" s="78" t="s">
        <ns0:v>42</ns0:v>
      </ns0:c>
      <ns0:c r="B8" s="130" t="s">
        <ns0:v>43</ns0:v>
      </ns0:c>
      <ns0:c r="C8" s="79" t="s">
        <ns0:v>22</ns0:v>
      </ns0:c>
      <ns0:c r="D8" s="79" t="s">
        <ns0:v>23</ns0:v>
      </ns0:c>
      <ns0:c r="E8" s="79" t="s">
        <ns0:v>24</ns0:v>
      </ns0:c>
      <ns0:c r="F8" s="132"/>
      <ns0:c r="G8" s="132" t="s">
        <ns0:v>25</ns0:v>
      </ns0:c>
      <ns0:c r="H8" s="133"/>
      <ns0:c r="I8" s="81"/>
      <ns0:c r="J8" s="81"/>
      <ns0:c r="K8" s="79" t="s">
        <ns0:v>44</ns0:v>
      </ns0:c>
      <ns0:c r="L8" s="79" t="s">
        <ns0:v>45</ns0:v>
      </ns0:c>
      <ns0:c r="M8" s="82"/>
      <ns0:c r="N8" s="79"/>
      <ns0:c r="O8" s="79" t="s">
        <ns0:v>36</ns0:v>
      </ns0:c>
      <ns0:c r="P8" s="79" t="s">
        <ns0:v>37</ns0:v>
      </ns0:c>
      <ns0:c r="Q8" s="79"/>
      <ns0:c r="R8" s="79" t="s">
        <ns0:v>30</ns0:v>
      </ns0:c>
      <ns0:c r="S8" s="79" t="s">
        <ns0:v>31</ns0:v>
      </ns0:c>
      <ns0:c r="T8" s="83"/>
    </ns0:row>
    <ns0:row r="9" ht="42" customHeight="1">
      <ns0:c r="A9" s="90" t="s">
        <ns0:v>46</ns0:v>
      </ns0:c>
      <ns0:c r="B9" s="129" t="s">
        <ns0:v>47</ns0:v>
      </ns0:c>
      <ns0:c r="C9" s="91" t="s">
        <ns0:v>48</ns0:v>
      </ns0:c>
      <ns0:c r="D9" s="91" t="s">
        <ns0:v>23</ns0:v>
      </ns0:c>
      <ns0:c r="E9" s="91" t="s">
        <ns0:v>24</ns0:v>
      </ns0:c>
      <ns0:c r="F9" s="132"/>
      <ns0:c r="G9" s="132" t="s">
        <ns0:v>25</ns0:v>
      </ns0:c>
      <ns0:c r="H9" s="133"/>
      <ns0:c r="I9" s="93"/>
      <ns0:c r="J9" s="93"/>
      <ns0:c r="K9" s="91" t="s">
        <ns0:v>49</ns0:v>
      </ns0:c>
      <ns0:c r="L9" s="91" t="s">
        <ns0:v>50</ns0:v>
      </ns0:c>
      <ns0:c r="M9" s="94"/>
      <ns0:c r="N9" s="91"/>
      <ns0:c r="O9" s="91" t="s">
        <ns0:v>28</ns0:v>
      </ns0:c>
      <ns0:c r="P9" s="91" t="s">
        <ns0:v>51</ns0:v>
      </ns0:c>
      <ns0:c r="Q9" s="91"/>
      <ns0:c r="R9" s="91" t="s">
        <ns0:v>30</ns0:v>
      </ns0:c>
      <ns0:c r="S9" s="91" t="s">
        <ns0:v>52</ns0:v>
      </ns0:c>
      <ns0:c r="T9" s="95"/>
    </ns0:row>
    <ns0:row r="10" ht="42" customHeight="1">
      <ns0:c r="A10" s="78" t="s">
        <ns0:v>53</ns0:v>
      </ns0:c>
      <ns0:c r="B10" s="130" t="s">
        <ns0:v>54</ns0:v>
      </ns0:c>
      <ns0:c r="C10" s="79" t="s">
        <ns0:v>48</ns0:v>
      </ns0:c>
      <ns0:c r="D10" s="79" t="s">
        <ns0:v>23</ns0:v>
      </ns0:c>
      <ns0:c r="E10" s="79" t="s">
        <ns0:v>24</ns0:v>
      </ns0:c>
      <ns0:c r="F10" s="132"/>
      <ns0:c r="G10" s="132" t="s">
        <ns0:v>25</ns0:v>
      </ns0:c>
      <ns0:c r="H10" s="133"/>
      <ns0:c r="I10" s="81"/>
      <ns0:c r="J10" s="81"/>
      <ns0:c r="K10" s="79" t="s">
        <ns0:v>55</ns0:v>
      </ns0:c>
      <ns0:c r="L10" s="79" t="s">
        <ns0:v>50</ns0:v>
      </ns0:c>
      <ns0:c r="M10" s="82"/>
      <ns0:c r="N10" s="79"/>
      <ns0:c r="O10" s="79" t="s">
        <ns0:v>28</ns0:v>
      </ns0:c>
      <ns0:c r="P10" s="79" t="s">
        <ns0:v>56</ns0:v>
      </ns0:c>
      <ns0:c r="Q10" s="79"/>
      <ns0:c r="R10" s="79" t="s">
        <ns0:v>30</ns0:v>
      </ns0:c>
      <ns0:c r="S10" s="79" t="s">
        <ns0:v>52</ns0:v>
      </ns0:c>
      <ns0:c r="T10" s="83"/>
    </ns0:row>
    <ns0:row r="11" ht="42" customHeight="1">
      <ns0:c r="A11" s="90" t="s">
        <ns0:v>57</ns0:v>
      </ns0:c>
      <ns0:c r="B11" s="129" t="s">
        <ns0:v>58</ns0:v>
      </ns0:c>
      <ns0:c r="C11" s="91" t="s">
        <ns0:v>59</ns0:v>
      </ns0:c>
      <ns0:c r="D11" s="91" t="s">
        <ns0:v>23</ns0:v>
      </ns0:c>
      <ns0:c r="E11" s="91" t="s">
        <ns0:v>24</ns0:v>
      </ns0:c>
      <ns0:c r="F11" s="132"/>
      <ns0:c r="G11" s="132" t="s">
        <ns0:v>25</ns0:v>
      </ns0:c>
      <ns0:c r="H11" s="133"/>
      <ns0:c r="I11" s="93"/>
      <ns0:c r="J11" s="93"/>
      <ns0:c r="K11" s="91" t="s">
        <ns0:v>60</ns0:v>
      </ns0:c>
      <ns0:c r="L11" s="91" t="s">
        <ns0:v>61</ns0:v>
      </ns0:c>
      <ns0:c r="M11" s="94"/>
      <ns0:c r="N11" s="91"/>
      <ns0:c r="O11" s="91" t="s">
        <ns0:v>28</ns0:v>
      </ns0:c>
      <ns0:c r="P11" s="91" t="s">
        <ns0:v>62</ns0:v>
      </ns0:c>
      <ns0:c r="Q11" s="91"/>
      <ns0:c r="R11" s="91" t="s">
        <ns0:v>30</ns0:v>
      </ns0:c>
      <ns0:c r="S11" s="91" t="s">
        <ns0:v>63</ns0:v>
      </ns0:c>
      <ns0:c r="T11" s="95"/>
    </ns0:row>
    <ns0:row r="12" ht="42" customHeight="1">
      <ns0:c r="A12" s="78" t="s">
        <ns0:v>64</ns0:v>
      </ns0:c>
      <ns0:c r="B12" s="130" t="s">
        <ns0:v>65</ns0:v>
      </ns0:c>
      <ns0:c r="C12" s="79" t="s">
        <ns0:v>48</ns0:v>
      </ns0:c>
      <ns0:c r="D12" s="79" t="s">
        <ns0:v>66</ns0:v>
      </ns0:c>
      <ns0:c r="E12" s="79" t="s">
        <ns0:v>24</ns0:v>
      </ns0:c>
      <ns0:c r="F12" s="132"/>
      <ns0:c r="G12" s="132" t="s">
        <ns0:v>25</ns0:v>
      </ns0:c>
      <ns0:c r="H12" s="133"/>
      <ns0:c r="I12" s="81"/>
      <ns0:c r="J12" s="81"/>
      <ns0:c r="K12" s="79" t="s">
        <ns0:v>67</ns0:v>
      </ns0:c>
      <ns0:c r="L12" s="79" t="s">
        <ns0:v>68</ns0:v>
      </ns0:c>
      <ns0:c r="M12" s="82"/>
      <ns0:c r="N12" s="79"/>
      <ns0:c r="O12" s="79" t="s">
        <ns0:v>28</ns0:v>
      </ns0:c>
      <ns0:c r="P12" s="79" t="s">
        <ns0:v>69</ns0:v>
      </ns0:c>
      <ns0:c r="Q12" s="79"/>
      <ns0:c r="R12" s="79" t="s">
        <ns0:v>30</ns0:v>
      </ns0:c>
      <ns0:c r="S12" s="79" t="s">
        <ns0:v>70</ns0:v>
      </ns0:c>
      <ns0:c r="T12" s="83"/>
    </ns0:row>
    <ns0:row r="13" ht="42" customHeight="1">
      <ns0:c r="A13" s="90" t="s">
        <ns0:v>71</ns0:v>
      </ns0:c>
      <ns0:c r="B13" s="129" t="s">
        <ns0:v>72</ns0:v>
      </ns0:c>
      <ns0:c r="C13" s="91" t="s">
        <ns0:v>48</ns0:v>
      </ns0:c>
      <ns0:c r="D13" s="91" t="s">
        <ns0:v>23</ns0:v>
      </ns0:c>
      <ns0:c r="E13" s="91" t="s">
        <ns0:v>24</ns0:v>
      </ns0:c>
      <ns0:c r="F13" s="132"/>
      <ns0:c r="G13" s="132" t="s">
        <ns0:v>25</ns0:v>
      </ns0:c>
      <ns0:c r="H13" s="133"/>
      <ns0:c r="I13" s="93"/>
      <ns0:c r="J13" s="93"/>
      <ns0:c r="K13" s="91" t="s">
        <ns0:v>73</ns0:v>
      </ns0:c>
      <ns0:c r="L13" s="91" t="s">
        <ns0:v>74</ns0:v>
      </ns0:c>
      <ns0:c r="M13" s="94"/>
      <ns0:c r="N13" s="91"/>
      <ns0:c r="O13" s="91" t="s">
        <ns0:v>36</ns0:v>
      </ns0:c>
      <ns0:c r="P13" s="91" t="s">
        <ns0:v>75</ns0:v>
      </ns0:c>
      <ns0:c r="Q13" s="91"/>
      <ns0:c r="R13" s="91" t="s">
        <ns0:v>30</ns0:v>
      </ns0:c>
      <ns0:c r="S13" s="91" t="s">
        <ns0:v>70</ns0:v>
      </ns0:c>
      <ns0:c r="T13" s="95"/>
    </ns0:row>
    <ns0:row r="14" ht="42" customHeight="1">
      <ns0:c r="A14" s="78" t="s">
        <ns0:v>76</ns0:v>
      </ns0:c>
      <ns0:c r="B14" s="130" t="s">
        <ns0:v>77</ns0:v>
      </ns0:c>
      <ns0:c r="C14" s="79" t="s">
        <ns0:v>78</ns0:v>
      </ns0:c>
      <ns0:c r="D14" s="79" t="s">
        <ns0:v>66</ns0:v>
      </ns0:c>
      <ns0:c r="E14" s="79" t="s">
        <ns0:v>24</ns0:v>
      </ns0:c>
      <ns0:c r="F14" s="132"/>
      <ns0:c r="G14" s="132" t="s">
        <ns0:v>25</ns0:v>
      </ns0:c>
      <ns0:c r="H14" s="133"/>
      <ns0:c r="I14" s="81"/>
      <ns0:c r="J14" s="81"/>
      <ns0:c r="K14" s="79" t="s">
        <ns0:v>79</ns0:v>
      </ns0:c>
      <ns0:c r="L14" s="79" t="s">
        <ns0:v>80</ns0:v>
      </ns0:c>
      <ns0:c r="M14" s="82"/>
      <ns0:c r="N14" s="79"/>
      <ns0:c r="O14" s="79" t="s">
        <ns0:v>28</ns0:v>
      </ns0:c>
      <ns0:c r="P14" s="79" t="s">
        <ns0:v>81</ns0:v>
      </ns0:c>
      <ns0:c r="Q14" s="79"/>
      <ns0:c r="R14" s="79" t="s">
        <ns0:v>30</ns0:v>
      </ns0:c>
      <ns0:c r="S14" s="79" t="s">
        <ns0:v>82</ns0:v>
      </ns0:c>
      <ns0:c r="T14" s="83"/>
    </ns0:row>
    <ns0:row r="15" ht="42" customHeight="1">
      <ns0:c r="A15" s="90" t="s">
        <ns0:v>83</ns0:v>
      </ns0:c>
      <ns0:c r="B15" s="129" t="s">
        <ns0:v>84</ns0:v>
      </ns0:c>
      <ns0:c r="C15" s="91" t="s">
        <ns0:v>78</ns0:v>
      </ns0:c>
      <ns0:c r="D15" s="91" t="s">
        <ns0:v>66</ns0:v>
      </ns0:c>
      <ns0:c r="E15" s="91" t="s">
        <ns0:v>24</ns0:v>
      </ns0:c>
      <ns0:c r="F15" s="132"/>
      <ns0:c r="G15" s="132" t="s">
        <ns0:v>85</ns0:v>
      </ns0:c>
      <ns0:c r="H15" s="133"/>
      <ns0:c r="I15" s="93"/>
      <ns0:c r="J15" s="93"/>
      <ns0:c r="K15" s="91" t="s">
        <ns0:v>86</ns0:v>
      </ns0:c>
      <ns0:c r="L15" s="91" t="s">
        <ns0:v>87</ns0:v>
      </ns0:c>
      <ns0:c r="M15" s="94"/>
      <ns0:c r="N15" s="91"/>
      <ns0:c r="O15" s="91" t="s">
        <ns0:v>28</ns0:v>
      </ns0:c>
      <ns0:c r="P15" s="91" t="s">
        <ns0:v>88</ns0:v>
      </ns0:c>
      <ns0:c r="Q15" s="91"/>
      <ns0:c r="R15" s="91" t="s">
        <ns0:v>30</ns0:v>
      </ns0:c>
      <ns0:c r="S15" s="91" t="s">
        <ns0:v>82</ns0:v>
      </ns0:c>
      <ns0:c r="T15" s="95"/>
    </ns0:row>
    <ns0:row r="16" ht="42" customHeight="1">
      <ns0:c r="A16" s="78" t="s">
        <ns0:v>89</ns0:v>
      </ns0:c>
      <ns0:c r="B16" s="130" t="s">
        <ns0:v>90</ns0:v>
      </ns0:c>
      <ns0:c r="C16" s="79" t="s">
        <ns0:v>78</ns0:v>
      </ns0:c>
      <ns0:c r="D16" s="79" t="s">
        <ns0:v>66</ns0:v>
      </ns0:c>
      <ns0:c r="E16" s="79" t="s">
        <ns0:v>24</ns0:v>
      </ns0:c>
      <ns0:c r="F16" s="132"/>
      <ns0:c r="G16" s="132" t="s">
        <ns0:v>85</ns0:v>
      </ns0:c>
      <ns0:c r="H16" s="133"/>
      <ns0:c r="I16" s="81"/>
      <ns0:c r="J16" s="81"/>
      <ns0:c r="K16" s="79" t="s">
        <ns0:v>91</ns0:v>
      </ns0:c>
      <ns0:c r="L16" s="79" t="s">
        <ns0:v>92</ns0:v>
      </ns0:c>
      <ns0:c r="M16" s="82"/>
      <ns0:c r="N16" s="79"/>
      <ns0:c r="O16" s="79" t="s">
        <ns0:v>28</ns0:v>
      </ns0:c>
      <ns0:c r="P16" s="79" t="s">
        <ns0:v>93</ns0:v>
      </ns0:c>
      <ns0:c r="Q16" s="79"/>
      <ns0:c r="R16" s="79" t="s">
        <ns0:v>30</ns0:v>
      </ns0:c>
      <ns0:c r="S16" s="79" t="s">
        <ns0:v>82</ns0:v>
      </ns0:c>
      <ns0:c r="T16" s="83"/>
    </ns0:row>
    <ns0:row r="17" ht="42" customHeight="1">
      <ns0:c r="A17" s="90" t="s">
        <ns0:v>94</ns0:v>
      </ns0:c>
      <ns0:c r="B17" s="129" t="s">
        <ns0:v>95</ns0:v>
      </ns0:c>
      <ns0:c r="C17" s="91" t="s">
        <ns0:v>78</ns0:v>
      </ns0:c>
      <ns0:c r="D17" s="91" t="s">
        <ns0:v>66</ns0:v>
      </ns0:c>
      <ns0:c r="E17" s="91" t="s">
        <ns0:v>24</ns0:v>
      </ns0:c>
      <ns0:c r="F17" s="132"/>
      <ns0:c r="G17" s="132" t="s">
        <ns0:v>85</ns0:v>
      </ns0:c>
      <ns0:c r="H17" s="133"/>
      <ns0:c r="I17" s="93"/>
      <ns0:c r="J17" s="93"/>
      <ns0:c r="K17" s="91" t="s">
        <ns0:v>96</ns0:v>
      </ns0:c>
      <ns0:c r="L17" s="91" t="s">
        <ns0:v>97</ns0:v>
      </ns0:c>
      <ns0:c r="M17" s="94"/>
      <ns0:c r="N17" s="91"/>
      <ns0:c r="O17" s="91" t="s">
        <ns0:v>28</ns0:v>
      </ns0:c>
      <ns0:c r="P17" s="91" t="s">
        <ns0:v>98</ns0:v>
      </ns0:c>
      <ns0:c r="Q17" s="91"/>
      <ns0:c r="R17" s="91" t="s">
        <ns0:v>30</ns0:v>
      </ns0:c>
      <ns0:c r="S17" s="91" t="s">
        <ns0:v>82</ns0:v>
      </ns0:c>
      <ns0:c r="T17" s="95"/>
    </ns0:row>
    <ns0:row r="18" ht="42" customHeight="1">
      <ns0:c r="A18" s="78" t="s">
        <ns0:v>99</ns0:v>
      </ns0:c>
      <ns0:c r="B18" s="130" t="s">
        <ns0:v>100</ns0:v>
      </ns0:c>
      <ns0:c r="C18" s="79" t="s">
        <ns0:v>78</ns0:v>
      </ns0:c>
      <ns0:c r="D18" s="79" t="s">
        <ns0:v>23</ns0:v>
      </ns0:c>
      <ns0:c r="E18" s="79" t="s">
        <ns0:v>24</ns0:v>
      </ns0:c>
      <ns0:c r="F18" s="132"/>
      <ns0:c r="G18" s="132" t="s">
        <ns0:v>25</ns0:v>
      </ns0:c>
      <ns0:c r="H18" s="133"/>
      <ns0:c r="I18" s="81"/>
      <ns0:c r="J18" s="81"/>
      <ns0:c r="K18" s="79" t="s">
        <ns0:v>101</ns0:v>
      </ns0:c>
      <ns0:c r="L18" s="79" t="s">
        <ns0:v>102</ns0:v>
      </ns0:c>
      <ns0:c r="M18" s="82"/>
      <ns0:c r="N18" s="79"/>
      <ns0:c r="O18" s="79" t="s">
        <ns0:v>28</ns0:v>
      </ns0:c>
      <ns0:c r="P18" s="79" t="s">
        <ns0:v>103</ns0:v>
      </ns0:c>
      <ns0:c r="Q18" s="79"/>
      <ns0:c r="R18" s="79" t="s">
        <ns0:v>30</ns0:v>
      </ns0:c>
      <ns0:c r="S18" s="79" t="s">
        <ns0:v>82</ns0:v>
      </ns0:c>
      <ns0:c r="T18" s="83"/>
    </ns0:row>
    <ns0:row r="19" ht="42" customHeight="1">
      <ns0:c r="A19" s="90" t="s">
        <ns0:v>104</ns0:v>
      </ns0:c>
      <ns0:c r="B19" s="129" t="s">
        <ns0:v>105</ns0:v>
      </ns0:c>
      <ns0:c r="C19" s="91" t="s">
        <ns0:v>78</ns0:v>
      </ns0:c>
      <ns0:c r="D19" s="91" t="s">
        <ns0:v>23</ns0:v>
      </ns0:c>
      <ns0:c r="E19" s="91" t="s">
        <ns0:v>24</ns0:v>
      </ns0:c>
      <ns0:c r="F19" s="132"/>
      <ns0:c r="G19" s="132" t="s">
        <ns0:v>85</ns0:v>
      </ns0:c>
      <ns0:c r="H19" s="133"/>
      <ns0:c r="I19" s="93"/>
      <ns0:c r="J19" s="93"/>
      <ns0:c r="K19" s="91" t="s">
        <ns0:v>106</ns0:v>
      </ns0:c>
      <ns0:c r="L19" s="91" t="s">
        <ns0:v>107</ns0:v>
      </ns0:c>
      <ns0:c r="M19" s="94"/>
      <ns0:c r="N19" s="91"/>
      <ns0:c r="O19" s="91" t="s">
        <ns0:v>28</ns0:v>
      </ns0:c>
      <ns0:c r="P19" s="91" t="s">
        <ns0:v>108</ns0:v>
      </ns0:c>
      <ns0:c r="Q19" s="91"/>
      <ns0:c r="R19" s="91" t="s">
        <ns0:v>30</ns0:v>
      </ns0:c>
      <ns0:c r="S19" s="91" t="s">
        <ns0:v>82</ns0:v>
      </ns0:c>
      <ns0:c r="T19" s="95"/>
    </ns0:row>
    <ns0:row r="20" ht="42" customHeight="1">
      <ns0:c r="A20" s="78" t="s">
        <ns0:v>109</ns0:v>
      </ns0:c>
      <ns0:c r="B20" s="130" t="s">
        <ns0:v>110</ns0:v>
      </ns0:c>
      <ns0:c r="C20" s="79" t="s">
        <ns0:v>78</ns0:v>
      </ns0:c>
      <ns0:c r="D20" s="79" t="s">
        <ns0:v>66</ns0:v>
      </ns0:c>
      <ns0:c r="E20" s="79" t="s">
        <ns0:v>24</ns0:v>
      </ns0:c>
      <ns0:c r="F20" s="132"/>
      <ns0:c r="G20" s="132" t="s">
        <ns0:v>85</ns0:v>
      </ns0:c>
      <ns0:c r="H20" s="133"/>
      <ns0:c r="I20" s="81"/>
      <ns0:c r="J20" s="81"/>
      <ns0:c r="K20" s="79" t="s">
        <ns0:v>111</ns0:v>
      </ns0:c>
      <ns0:c r="L20" s="79" t="s">
        <ns0:v>112</ns0:v>
      </ns0:c>
      <ns0:c r="M20" s="82"/>
      <ns0:c r="N20" s="79"/>
      <ns0:c r="O20" s="79" t="s">
        <ns0:v>28</ns0:v>
      </ns0:c>
      <ns0:c r="P20" s="79" t="s">
        <ns0:v>113</ns0:v>
      </ns0:c>
      <ns0:c r="Q20" s="79"/>
      <ns0:c r="R20" s="79" t="s">
        <ns0:v>30</ns0:v>
      </ns0:c>
      <ns0:c r="S20" s="79" t="s">
        <ns0:v>82</ns0:v>
      </ns0:c>
      <ns0:c r="T20" s="83"/>
    </ns0:row>
    <ns0:row r="21" ht="42" customHeight="1">
      <ns0:c r="A21" s="90" t="s">
        <ns0:v>114</ns0:v>
      </ns0:c>
      <ns0:c r="B21" s="129" t="s">
        <ns0:v>115</ns0:v>
      </ns0:c>
      <ns0:c r="C21" s="91" t="s">
        <ns0:v>78</ns0:v>
      </ns0:c>
      <ns0:c r="D21" s="91" t="s">
        <ns0:v>66</ns0:v>
      </ns0:c>
      <ns0:c r="E21" s="91" t="s">
        <ns0:v>24</ns0:v>
      </ns0:c>
      <ns0:c r="F21" s="132"/>
      <ns0:c r="G21" s="132" t="s">
        <ns0:v>25</ns0:v>
      </ns0:c>
      <ns0:c r="H21" s="133"/>
      <ns0:c r="I21" s="93"/>
      <ns0:c r="J21" s="93"/>
      <ns0:c r="K21" s="91" t="s">
        <ns0:v>116</ns0:v>
      </ns0:c>
      <ns0:c r="L21" s="91" t="s">
        <ns0:v>117</ns0:v>
      </ns0:c>
      <ns0:c r="M21" s="94"/>
      <ns0:c r="N21" s="91"/>
      <ns0:c r="O21" s="91" t="s">
        <ns0:v>28</ns0:v>
      </ns0:c>
      <ns0:c r="P21" s="91" t="s">
        <ns0:v>118</ns0:v>
      </ns0:c>
      <ns0:c r="Q21" s="91"/>
      <ns0:c r="R21" s="91" t="s">
        <ns0:v>30</ns0:v>
      </ns0:c>
      <ns0:c r="S21" s="91" t="s">
        <ns0:v>82</ns0:v>
      </ns0:c>
      <ns0:c r="T21" s="95"/>
    </ns0:row>
    <ns0:row r="22" ht="42" customHeight="1">
      <ns0:c r="A22" s="78" t="s">
        <ns0:v>119</ns0:v>
      </ns0:c>
      <ns0:c r="B22" s="130" t="s">
        <ns0:v>120</ns0:v>
      </ns0:c>
      <ns0:c r="C22" s="79" t="s">
        <ns0:v>78</ns0:v>
      </ns0:c>
      <ns0:c r="D22" s="79" t="s">
        <ns0:v>66</ns0:v>
      </ns0:c>
      <ns0:c r="E22" s="79" t="s">
        <ns0:v>24</ns0:v>
      </ns0:c>
      <ns0:c r="F22" s="132"/>
      <ns0:c r="G22" s="132" t="s">
        <ns0:v>85</ns0:v>
      </ns0:c>
      <ns0:c r="H22" s="133"/>
      <ns0:c r="I22" s="81"/>
      <ns0:c r="J22" s="81"/>
      <ns0:c r="K22" s="79" t="s">
        <ns0:v>121</ns0:v>
      </ns0:c>
      <ns0:c r="L22" s="79" t="s">
        <ns0:v>122</ns0:v>
      </ns0:c>
      <ns0:c r="M22" s="82"/>
      <ns0:c r="N22" s="79"/>
      <ns0:c r="O22" s="79" t="s">
        <ns0:v>28</ns0:v>
      </ns0:c>
      <ns0:c r="P22" s="79" t="s">
        <ns0:v>123</ns0:v>
      </ns0:c>
      <ns0:c r="Q22" s="79" t="s">
        <ns0:v>124</ns0:v>
      </ns0:c>
      <ns0:c r="R22" s="79" t="s">
        <ns0:v>30</ns0:v>
      </ns0:c>
      <ns0:c r="S22" s="79" t="s">
        <ns0:v>82</ns0:v>
      </ns0:c>
      <ns0:c r="T22" s="83"/>
    </ns0:row>
    <ns0:row r="23" ht="42" customHeight="1">
      <ns0:c r="A23" s="90" t="s">
        <ns0:v>125</ns0:v>
      </ns0:c>
      <ns0:c r="B23" s="129" t="s">
        <ns0:v>126</ns0:v>
      </ns0:c>
      <ns0:c r="C23" s="91" t="s">
        <ns0:v>127</ns0:v>
      </ns0:c>
      <ns0:c r="D23" s="91" t="s">
        <ns0:v>66</ns0:v>
      </ns0:c>
      <ns0:c r="E23" s="91" t="s">
        <ns0:v>24</ns0:v>
      </ns0:c>
      <ns0:c r="F23" s="132"/>
      <ns0:c r="G23" s="132" t="s">
        <ns0:v>85</ns0:v>
      </ns0:c>
      <ns0:c r="H23" s="133"/>
      <ns0:c r="I23" s="93"/>
      <ns0:c r="J23" s="93"/>
      <ns0:c r="K23" s="91" t="s">
        <ns0:v>128</ns0:v>
      </ns0:c>
      <ns0:c r="L23" s="91" t="s">
        <ns0:v>129</ns0:v>
      </ns0:c>
      <ns0:c r="M23" s="94"/>
      <ns0:c r="N23" s="91"/>
      <ns0:c r="O23" s="91" t="s">
        <ns0:v>28</ns0:v>
      </ns0:c>
      <ns0:c r="P23" s="91" t="s">
        <ns0:v>130</ns0:v>
      </ns0:c>
      <ns0:c r="Q23" s="91"/>
      <ns0:c r="R23" s="91" t="s">
        <ns0:v>30</ns0:v>
      </ns0:c>
      <ns0:c r="S23" s="91" t="s">
        <ns0:v>131</ns0:v>
      </ns0:c>
      <ns0:c r="T23" s="95"/>
    </ns0:row>
    <ns0:row r="24" ht="42" customHeight="1">
      <ns0:c r="A24" s="78" t="s">
        <ns0:v>132</ns0:v>
      </ns0:c>
      <ns0:c r="B24" s="130" t="s">
        <ns0:v>133</ns0:v>
      </ns0:c>
      <ns0:c r="C24" s="79" t="s">
        <ns0:v>127</ns0:v>
      </ns0:c>
      <ns0:c r="D24" s="79" t="s">
        <ns0:v>66</ns0:v>
      </ns0:c>
      <ns0:c r="E24" s="79" t="s">
        <ns0:v>24</ns0:v>
      </ns0:c>
      <ns0:c r="F24" s="132"/>
      <ns0:c r="G24" s="132" t="s">
        <ns0:v>85</ns0:v>
      </ns0:c>
      <ns0:c r="H24" s="133"/>
      <ns0:c r="I24" s="81"/>
      <ns0:c r="J24" s="81"/>
      <ns0:c r="K24" s="79" t="s">
        <ns0:v>134</ns0:v>
      </ns0:c>
      <ns0:c r="L24" s="79" t="s">
        <ns0:v>135</ns0:v>
      </ns0:c>
      <ns0:c r="M24" s="82"/>
      <ns0:c r="N24" s="79"/>
      <ns0:c r="O24" s="79" t="s">
        <ns0:v>28</ns0:v>
      </ns0:c>
      <ns0:c r="P24" s="79" t="s">
        <ns0:v>136</ns0:v>
      </ns0:c>
      <ns0:c r="Q24" s="79"/>
      <ns0:c r="R24" s="79" t="s">
        <ns0:v>30</ns0:v>
      </ns0:c>
      <ns0:c r="S24" s="79" t="s">
        <ns0:v>131</ns0:v>
      </ns0:c>
      <ns0:c r="T24" s="83"/>
    </ns0:row>
    <ns0:row r="25" ht="42" customHeight="1">
      <ns0:c r="A25" s="90" t="s">
        <ns0:v>137</ns0:v>
      </ns0:c>
      <ns0:c r="B25" s="129" t="s">
        <ns0:v>138</ns0:v>
      </ns0:c>
      <ns0:c r="C25" s="91" t="s">
        <ns0:v>127</ns0:v>
      </ns0:c>
      <ns0:c r="D25" s="91" t="s">
        <ns0:v>66</ns0:v>
      </ns0:c>
      <ns0:c r="E25" s="91" t="s">
        <ns0:v>24</ns0:v>
      </ns0:c>
      <ns0:c r="F25" s="132"/>
      <ns0:c r="G25" s="132" t="s">
        <ns0:v>85</ns0:v>
      </ns0:c>
      <ns0:c r="H25" s="133"/>
      <ns0:c r="I25" s="93"/>
      <ns0:c r="J25" s="93"/>
      <ns0:c r="K25" s="91" t="s">
        <ns0:v>139</ns0:v>
      </ns0:c>
      <ns0:c r="L25" s="91" t="s">
        <ns0:v>140</ns0:v>
      </ns0:c>
      <ns0:c r="M25" s="94"/>
      <ns0:c r="N25" s="91"/>
      <ns0:c r="O25" s="91" t="s">
        <ns0:v>28</ns0:v>
      </ns0:c>
      <ns0:c r="P25" s="91" t="s">
        <ns0:v>141</ns0:v>
      </ns0:c>
      <ns0:c r="Q25" s="91"/>
      <ns0:c r="R25" s="91" t="s">
        <ns0:v>30</ns0:v>
      </ns0:c>
      <ns0:c r="S25" s="91" t="s">
        <ns0:v>131</ns0:v>
      </ns0:c>
      <ns0:c r="T25" s="95"/>
    </ns0:row>
    <ns0:row r="26" ht="42" customHeight="1">
      <ns0:c r="A26" s="78" t="s">
        <ns0:v>142</ns0:v>
      </ns0:c>
      <ns0:c r="B26" s="130" t="s">
        <ns0:v>143</ns0:v>
      </ns0:c>
      <ns0:c r="C26" s="79" t="s">
        <ns0:v>127</ns0:v>
      </ns0:c>
      <ns0:c r="D26" s="79" t="s">
        <ns0:v>23</ns0:v>
      </ns0:c>
      <ns0:c r="E26" s="79" t="s">
        <ns0:v>24</ns0:v>
      </ns0:c>
      <ns0:c r="F26" s="132"/>
      <ns0:c r="G26" s="132" t="s">
        <ns0:v>85</ns0:v>
      </ns0:c>
      <ns0:c r="H26" s="133"/>
      <ns0:c r="I26" s="81"/>
      <ns0:c r="J26" s="81"/>
      <ns0:c r="K26" s="79" t="s">
        <ns0:v>144</ns0:v>
      </ns0:c>
      <ns0:c r="L26" s="79" t="s">
        <ns0:v>145</ns0:v>
      </ns0:c>
      <ns0:c r="M26" s="82"/>
      <ns0:c r="N26" s="79"/>
      <ns0:c r="O26" s="79" t="s">
        <ns0:v>28</ns0:v>
      </ns0:c>
      <ns0:c r="P26" s="79" t="s">
        <ns0:v>146</ns0:v>
      </ns0:c>
      <ns0:c r="Q26" s="79"/>
      <ns0:c r="R26" s="79" t="s">
        <ns0:v>30</ns0:v>
      </ns0:c>
      <ns0:c r="S26" s="79" t="s">
        <ns0:v>131</ns0:v>
      </ns0:c>
      <ns0:c r="T26" s="83"/>
    </ns0:row>
    <ns0:row r="27" ht="42" customHeight="1">
      <ns0:c r="A27" s="90" t="s">
        <ns0:v>147</ns0:v>
      </ns0:c>
      <ns0:c r="B27" s="129" t="s">
        <ns0:v>148</ns0:v>
      </ns0:c>
      <ns0:c r="C27" s="91" t="s">
        <ns0:v>127</ns0:v>
      </ns0:c>
      <ns0:c r="D27" s="91" t="s">
        <ns0:v>23</ns0:v>
      </ns0:c>
      <ns0:c r="E27" s="91" t="s">
        <ns0:v>24</ns0:v>
      </ns0:c>
      <ns0:c r="F27" s="132"/>
      <ns0:c r="G27" s="132" t="s">
        <ns0:v>85</ns0:v>
      </ns0:c>
      <ns0:c r="H27" s="133"/>
      <ns0:c r="I27" s="93"/>
      <ns0:c r="J27" s="93"/>
      <ns0:c r="K27" s="91" t="s">
        <ns0:v>149</ns0:v>
      </ns0:c>
      <ns0:c r="L27" s="91" t="s">
        <ns0:v>150</ns0:v>
      </ns0:c>
      <ns0:c r="M27" s="94"/>
      <ns0:c r="N27" s="91"/>
      <ns0:c r="O27" s="91" t="s">
        <ns0:v>28</ns0:v>
      </ns0:c>
      <ns0:c r="P27" s="91" t="s">
        <ns0:v>151</ns0:v>
      </ns0:c>
      <ns0:c r="Q27" s="91"/>
      <ns0:c r="R27" s="91" t="s">
        <ns0:v>30</ns0:v>
      </ns0:c>
      <ns0:c r="S27" s="91" t="s">
        <ns0:v>131</ns0:v>
      </ns0:c>
      <ns0:c r="T27" s="95"/>
    </ns0:row>
    <ns0:row r="28" ht="42" customHeight="1">
      <ns0:c r="A28" s="78" t="s">
        <ns0:v>152</ns0:v>
      </ns0:c>
      <ns0:c r="B28" s="130" t="s">
        <ns0:v>153</ns0:v>
      </ns0:c>
      <ns0:c r="C28" s="79" t="s">
        <ns0:v>127</ns0:v>
      </ns0:c>
      <ns0:c r="D28" s="79" t="s">
        <ns0:v>66</ns0:v>
      </ns0:c>
      <ns0:c r="E28" s="79" t="s">
        <ns0:v>24</ns0:v>
      </ns0:c>
      <ns0:c r="F28" s="132"/>
      <ns0:c r="G28" s="132" t="s">
        <ns0:v>85</ns0:v>
      </ns0:c>
      <ns0:c r="H28" s="133"/>
      <ns0:c r="I28" s="81"/>
      <ns0:c r="J28" s="81"/>
      <ns0:c r="K28" s="79" t="s">
        <ns0:v>154</ns0:v>
      </ns0:c>
      <ns0:c r="L28" s="79" t="s">
        <ns0:v>155</ns0:v>
      </ns0:c>
      <ns0:c r="M28" s="82"/>
      <ns0:c r="N28" s="79"/>
      <ns0:c r="O28" s="79" t="s">
        <ns0:v>28</ns0:v>
      </ns0:c>
      <ns0:c r="P28" s="79" t="s">
        <ns0:v>156</ns0:v>
      </ns0:c>
      <ns0:c r="Q28" s="79"/>
      <ns0:c r="R28" s="79" t="s">
        <ns0:v>30</ns0:v>
      </ns0:c>
      <ns0:c r="S28" s="79" t="s">
        <ns0:v>131</ns0:v>
      </ns0:c>
      <ns0:c r="T28" s="83"/>
    </ns0:row>
    <ns0:row r="29" ht="42" customHeight="1">
      <ns0:c r="A29" s="90" t="s">
        <ns0:v>157</ns0:v>
      </ns0:c>
      <ns0:c r="B29" s="129" t="s">
        <ns0:v>158</ns0:v>
      </ns0:c>
      <ns0:c r="C29" s="91" t="s">
        <ns0:v>127</ns0:v>
      </ns0:c>
      <ns0:c r="D29" s="91" t="s">
        <ns0:v>23</ns0:v>
      </ns0:c>
      <ns0:c r="E29" s="91" t="s">
        <ns0:v>159</ns0:v>
      </ns0:c>
      <ns0:c r="F29" s="132"/>
      <ns0:c r="G29" s="132" t="s">
        <ns0:v>25</ns0:v>
      </ns0:c>
      <ns0:c r="H29" s="133"/>
      <ns0:c r="I29" s="93"/>
      <ns0:c r="J29" s="93"/>
      <ns0:c r="K29" s="91"/>
      <ns0:c r="L29" s="91" t="s">
        <ns0:v>160</ns0:v>
      </ns0:c>
      <ns0:c r="M29" s="94"/>
      <ns0:c r="N29" s="91"/>
      <ns0:c r="O29" s="91"/>
      <ns0:c r="P29" s="91" t="s">
        <ns0:v>161</ns0:v>
      </ns0:c>
      <ns0:c r="Q29" s="91" t="s">
        <ns0:v>162</ns0:v>
      </ns0:c>
      <ns0:c r="R29" s="91" t="s">
        <ns0:v>30</ns0:v>
      </ns0:c>
      <ns0:c r="S29" s="91" t="s">
        <ns0:v>163</ns0:v>
      </ns0:c>
      <ns0:c r="T29" s="95" t="s">
        <ns0:v>164</ns0:v>
      </ns0:c>
    </ns0:row>
    <ns0:row r="30" ht="42" customHeight="1">
      <ns0:c r="A30" s="78" t="s">
        <ns0:v>165</ns0:v>
      </ns0:c>
      <ns0:c r="B30" s="130" t="s">
        <ns0:v>166</ns0:v>
      </ns0:c>
      <ns0:c r="C30" s="79" t="s">
        <ns0:v>78</ns0:v>
      </ns0:c>
      <ns0:c r="D30" s="79" t="s">
        <ns0:v>66</ns0:v>
      </ns0:c>
      <ns0:c r="E30" s="79" t="s">
        <ns0:v>159</ns0:v>
      </ns0:c>
      <ns0:c r="F30" s="132"/>
      <ns0:c r="G30" s="132" t="s">
        <ns0:v>25</ns0:v>
      </ns0:c>
      <ns0:c r="H30" s="133"/>
      <ns0:c r="I30" s="81"/>
      <ns0:c r="J30" s="81"/>
      <ns0:c r="K30" s="79"/>
      <ns0:c r="L30" s="79" t="s">
        <ns0:v>167</ns0:v>
      </ns0:c>
      <ns0:c r="M30" s="82"/>
      <ns0:c r="N30" s="79"/>
      <ns0:c r="O30" s="79"/>
      <ns0:c r="P30" s="79" t="s">
        <ns0:v>168</ns0:v>
      </ns0:c>
      <ns0:c r="Q30" s="79" t="s">
        <ns0:v>162</ns0:v>
      </ns0:c>
      <ns0:c r="R30" s="79" t="s">
        <ns0:v>30</ns0:v>
      </ns0:c>
      <ns0:c r="S30" s="79" t="s">
        <ns0:v>163</ns0:v>
      </ns0:c>
      <ns0:c r="T30" s="83" t="s">
        <ns0:v>164</ns0:v>
      </ns0:c>
    </ns0:row>
    <ns0:row r="31" ht="42" customHeight="1">
      <ns0:c r="A31" s="90" t="s">
        <ns0:v>169</ns0:v>
      </ns0:c>
      <ns0:c r="B31" s="129" t="s">
        <ns0:v>170</ns0:v>
      </ns0:c>
      <ns0:c r="C31" s="91" t="s">
        <ns0:v>78</ns0:v>
      </ns0:c>
      <ns0:c r="D31" s="91" t="s">
        <ns0:v>23</ns0:v>
      </ns0:c>
      <ns0:c r="E31" s="91" t="s">
        <ns0:v>159</ns0:v>
      </ns0:c>
      <ns0:c r="F31" s="132"/>
      <ns0:c r="G31" s="132" t="s">
        <ns0:v>25</ns0:v>
      </ns0:c>
      <ns0:c r="H31" s="133"/>
      <ns0:c r="I31" s="93"/>
      <ns0:c r="J31" s="93"/>
      <ns0:c r="K31" s="91"/>
      <ns0:c r="L31" s="91" t="s">
        <ns0:v>171</ns0:v>
      </ns0:c>
      <ns0:c r="M31" s="94"/>
      <ns0:c r="N31" s="91"/>
      <ns0:c r="O31" s="91"/>
      <ns0:c r="P31" s="91" t="s">
        <ns0:v>172</ns0:v>
      </ns0:c>
      <ns0:c r="Q31" s="91" t="s">
        <ns0:v>162</ns0:v>
      </ns0:c>
      <ns0:c r="R31" s="91" t="s">
        <ns0:v>30</ns0:v>
      </ns0:c>
      <ns0:c r="S31" s="91" t="s">
        <ns0:v>163</ns0:v>
      </ns0:c>
      <ns0:c r="T31" s="95" t="s">
        <ns0:v>164</ns0:v>
      </ns0:c>
    </ns0:row>
    <ns0:row r="32" ht="42" customHeight="1">
      <ns0:c r="A32" s="78" t="s">
        <ns0:v>173</ns0:v>
      </ns0:c>
      <ns0:c r="B32" s="130" t="s">
        <ns0:v>174</ns0:v>
      </ns0:c>
      <ns0:c r="C32" s="79" t="s">
        <ns0:v>78</ns0:v>
      </ns0:c>
      <ns0:c r="D32" s="79" t="s">
        <ns0:v>23</ns0:v>
      </ns0:c>
      <ns0:c r="E32" s="79" t="s">
        <ns0:v>159</ns0:v>
      </ns0:c>
      <ns0:c r="F32" s="132"/>
      <ns0:c r="G32" s="132" t="s">
        <ns0:v>25</ns0:v>
      </ns0:c>
      <ns0:c r="H32" s="133"/>
      <ns0:c r="I32" s="81"/>
      <ns0:c r="J32" s="81"/>
      <ns0:c r="K32" s="79"/>
      <ns0:c r="L32" s="79" t="s">
        <ns0:v>175</ns0:v>
      </ns0:c>
      <ns0:c r="M32" s="82"/>
      <ns0:c r="N32" s="79"/>
      <ns0:c r="O32" s="79"/>
      <ns0:c r="P32" s="79" t="s">
        <ns0:v>176</ns0:v>
      </ns0:c>
      <ns0:c r="Q32" s="79" t="s">
        <ns0:v>162</ns0:v>
      </ns0:c>
      <ns0:c r="R32" s="79" t="s">
        <ns0:v>30</ns0:v>
      </ns0:c>
      <ns0:c r="S32" s="79" t="s">
        <ns0:v>163</ns0:v>
      </ns0:c>
      <ns0:c r="T32" s="83" t="s">
        <ns0:v>164</ns0:v>
      </ns0:c>
    </ns0:row>
    <ns0:row r="33" ht="42" customHeight="1">
      <ns0:c r="A33" s="90" t="s">
        <ns0:v>177</ns0:v>
      </ns0:c>
      <ns0:c r="B33" s="129" t="s">
        <ns0:v>178</ns0:v>
      </ns0:c>
      <ns0:c r="C33" s="91" t="s">
        <ns0:v>78</ns0:v>
      </ns0:c>
      <ns0:c r="D33" s="91" t="s">
        <ns0:v>23</ns0:v>
      </ns0:c>
      <ns0:c r="E33" s="91" t="s">
        <ns0:v>159</ns0:v>
      </ns0:c>
      <ns0:c r="F33" s="132"/>
      <ns0:c r="G33" s="132" t="s">
        <ns0:v>25</ns0:v>
      </ns0:c>
      <ns0:c r="H33" s="133"/>
      <ns0:c r="I33" s="93"/>
      <ns0:c r="J33" s="93"/>
      <ns0:c r="K33" s="91"/>
      <ns0:c r="L33" s="91" t="s">
        <ns0:v>179</ns0:v>
      </ns0:c>
      <ns0:c r="M33" s="94"/>
      <ns0:c r="N33" s="91"/>
      <ns0:c r="O33" s="91"/>
      <ns0:c r="P33" s="91" t="s">
        <ns0:v>180</ns0:v>
      </ns0:c>
      <ns0:c r="Q33" s="91" t="s">
        <ns0:v>162</ns0:v>
      </ns0:c>
      <ns0:c r="R33" s="91" t="s">
        <ns0:v>30</ns0:v>
      </ns0:c>
      <ns0:c r="S33" s="91" t="s">
        <ns0:v>163</ns0:v>
      </ns0:c>
      <ns0:c r="T33" s="95" t="s">
        <ns0:v>164</ns0:v>
      </ns0:c>
    </ns0:row>
    <ns0:row r="34" ht="42" customHeight="1">
      <ns0:c r="A34" s="84" t="s">
        <ns0:v>181</ns0:v>
      </ns0:c>
      <ns0:c r="B34" s="131" t="s">
        <ns0:v>182</ns0:v>
      </ns0:c>
      <ns0:c r="C34" s="85" t="s">
        <ns0:v>78</ns0:v>
      </ns0:c>
      <ns0:c r="D34" s="85" t="s">
        <ns0:v>183</ns0:v>
      </ns0:c>
      <ns0:c r="E34" s="85" t="s">
        <ns0:v>159</ns0:v>
      </ns0:c>
      <ns0:c r="F34" s="134"/>
      <ns0:c r="G34" s="134" t="s">
        <ns0:v>25</ns0:v>
      </ns0:c>
      <ns0:c r="H34" s="135"/>
      <ns0:c r="I34" s="87"/>
      <ns0:c r="J34" s="87"/>
      <ns0:c r="K34" s="85"/>
      <ns0:c r="L34" s="85" t="s">
        <ns0:v>184</ns0:v>
      </ns0:c>
      <ns0:c r="M34" s="88"/>
      <ns0:c r="N34" s="85"/>
      <ns0:c r="O34" s="85"/>
      <ns0:c r="P34" s="85" t="s">
        <ns0:v>185</ns0:v>
      </ns0:c>
      <ns0:c r="Q34" s="85" t="s">
        <ns0:v>162</ns0:v>
      </ns0:c>
      <ns0:c r="R34" s="85" t="s">
        <ns0:v>30</ns0:v>
      </ns0:c>
      <ns0:c r="S34" s="85" t="s">
        <ns0:v>163</ns0:v>
      </ns0:c>
      <ns0:c r="T34" s="89" t="s">
        <ns0:v>164</ns0:v>
      </ns0:c>
    </ns0:row>
    <ns0:row r="35" ht="15.75" customHeight="1">
      <ns0:c r="D35" s="21"/>
      <ns0:c r="E35" s="21"/>
      <ns0:c r="G35" s="21"/>
      <ns0:c r="H35" s="22"/>
      <ns0:c r="I35" s="23"/>
      <ns0:c r="J35" s="23"/>
      <ns0:c r="M35" s="24"/>
      <ns0:c r="R35" s="21"/>
    </ns0:row>
    <ns0:row r="36" ht="15.75" customHeight="1">
      <ns0:c r="D36" s="21"/>
      <ns0:c r="E36" s="21"/>
      <ns0:c r="G36" s="21"/>
      <ns0:c r="H36" s="22"/>
      <ns0:c r="I36" s="23"/>
      <ns0:c r="J36" s="23"/>
      <ns0:c r="M36" s="24"/>
      <ns0:c r="R36" s="21"/>
    </ns0:row>
    <ns0:row r="37" ht="15.75" customHeight="1">
      <ns0:c r="D37" s="21"/>
      <ns0:c r="E37" s="21"/>
      <ns0:c r="G37" s="21"/>
      <ns0:c r="H37" s="22"/>
      <ns0:c r="I37" s="23"/>
      <ns0:c r="J37" s="23"/>
      <ns0:c r="M37" s="24"/>
      <ns0:c r="R37" s="21"/>
    </ns0:row>
    <ns0:row r="38" ht="15.75" customHeight="1">
      <ns0:c r="D38" s="21"/>
      <ns0:c r="E38" s="21"/>
      <ns0:c r="G38" s="21"/>
      <ns0:c r="H38" s="22"/>
      <ns0:c r="I38" s="23"/>
      <ns0:c r="J38" s="23"/>
      <ns0:c r="M38" s="24"/>
      <ns0:c r="R38" s="21"/>
    </ns0:row>
    <ns0:row r="39" ht="15.75" customHeight="1">
      <ns0:c r="D39" s="21"/>
      <ns0:c r="E39" s="21"/>
      <ns0:c r="G39" s="21"/>
      <ns0:c r="H39" s="22"/>
      <ns0:c r="I39" s="23"/>
      <ns0:c r="J39" s="23"/>
      <ns0:c r="M39" s="24"/>
      <ns0:c r="R39" s="21"/>
    </ns0:row>
    <ns0:row r="40" ht="15.75" customHeight="1">
      <ns0:c r="D40" s="21"/>
      <ns0:c r="E40" s="21"/>
      <ns0:c r="G40" s="21"/>
      <ns0:c r="H40" s="22"/>
      <ns0:c r="I40" s="23"/>
      <ns0:c r="J40" s="23"/>
      <ns0:c r="M40" s="24"/>
      <ns0:c r="R40" s="21"/>
    </ns0:row>
    <ns0:row r="41" ht="15.75" customHeight="1">
      <ns0:c r="D41" s="21"/>
      <ns0:c r="E41" s="21"/>
      <ns0:c r="G41" s="21"/>
      <ns0:c r="H41" s="22"/>
      <ns0:c r="I41" s="23"/>
      <ns0:c r="J41" s="23"/>
      <ns0:c r="M41" s="24"/>
      <ns0:c r="R41" s="21"/>
    </ns0:row>
    <ns0:row r="42" ht="15.75" customHeight="1">
      <ns0:c r="D42" s="21"/>
      <ns0:c r="E42" s="21"/>
      <ns0:c r="G42" s="21"/>
      <ns0:c r="H42" s="22"/>
      <ns0:c r="I42" s="23"/>
      <ns0:c r="J42" s="23"/>
      <ns0:c r="M42" s="24"/>
      <ns0:c r="R42" s="21"/>
    </ns0:row>
    <ns0:row r="43" ht="15.75" customHeight="1">
      <ns0:c r="D43" s="21"/>
      <ns0:c r="E43" s="21"/>
      <ns0:c r="G43" s="21"/>
      <ns0:c r="H43" s="22"/>
      <ns0:c r="I43" s="23"/>
      <ns0:c r="J43" s="23"/>
      <ns0:c r="M43" s="24"/>
      <ns0:c r="R43" s="21"/>
    </ns0:row>
    <ns0:row r="44" ht="15.75" customHeight="1">
      <ns0:c r="D44" s="21"/>
      <ns0:c r="E44" s="21"/>
      <ns0:c r="G44" s="21"/>
      <ns0:c r="H44" s="22"/>
      <ns0:c r="I44" s="23"/>
      <ns0:c r="J44" s="23"/>
      <ns0:c r="M44" s="24"/>
      <ns0:c r="R44" s="21"/>
    </ns0:row>
    <ns0:row r="45" ht="15.75" customHeight="1">
      <ns0:c r="D45" s="21"/>
      <ns0:c r="E45" s="21"/>
      <ns0:c r="G45" s="21"/>
      <ns0:c r="H45" s="22"/>
      <ns0:c r="I45" s="23"/>
      <ns0:c r="J45" s="23"/>
      <ns0:c r="M45" s="24"/>
      <ns0:c r="R45" s="21"/>
    </ns0:row>
    <ns0:row r="46" ht="15.75" customHeight="1">
      <ns0:c r="D46" s="21"/>
      <ns0:c r="E46" s="21"/>
      <ns0:c r="G46" s="21"/>
      <ns0:c r="H46" s="22"/>
      <ns0:c r="I46" s="23"/>
      <ns0:c r="J46" s="23"/>
      <ns0:c r="M46" s="24"/>
      <ns0:c r="R46" s="21"/>
    </ns0:row>
    <ns0:row r="47" ht="15.75" customHeight="1">
      <ns0:c r="D47" s="21"/>
      <ns0:c r="E47" s="21"/>
      <ns0:c r="G47" s="21"/>
      <ns0:c r="H47" s="22"/>
      <ns0:c r="I47" s="23"/>
      <ns0:c r="J47" s="23"/>
      <ns0:c r="M47" s="24"/>
      <ns0:c r="R47" s="21"/>
    </ns0:row>
    <ns0:row r="48" ht="15.75" customHeight="1">
      <ns0:c r="D48" s="21"/>
      <ns0:c r="E48" s="21"/>
      <ns0:c r="G48" s="21"/>
      <ns0:c r="H48" s="22"/>
      <ns0:c r="I48" s="23"/>
      <ns0:c r="J48" s="23"/>
      <ns0:c r="M48" s="24"/>
      <ns0:c r="R48" s="21"/>
    </ns0:row>
    <ns0:row r="49" ht="15.75" customHeight="1">
      <ns0:c r="D49" s="21"/>
      <ns0:c r="E49" s="21"/>
      <ns0:c r="G49" s="21"/>
      <ns0:c r="H49" s="22"/>
      <ns0:c r="I49" s="23"/>
      <ns0:c r="J49" s="23"/>
      <ns0:c r="M49" s="24"/>
      <ns0:c r="R49" s="21"/>
    </ns0:row>
    <ns0:row r="50" ht="15.75" customHeight="1">
      <ns0:c r="D50" s="21"/>
      <ns0:c r="E50" s="21"/>
      <ns0:c r="G50" s="21"/>
      <ns0:c r="H50" s="22"/>
      <ns0:c r="I50" s="23"/>
      <ns0:c r="J50" s="23"/>
      <ns0:c r="M50" s="24"/>
      <ns0:c r="R50" s="21"/>
    </ns0:row>
    <ns0:row r="51" ht="15.75" customHeight="1">
      <ns0:c r="D51" s="21"/>
      <ns0:c r="E51" s="21"/>
      <ns0:c r="G51" s="21"/>
      <ns0:c r="H51" s="22"/>
      <ns0:c r="I51" s="23"/>
      <ns0:c r="J51" s="23"/>
      <ns0:c r="M51" s="24"/>
      <ns0:c r="R51" s="21"/>
    </ns0:row>
    <ns0:row r="52" ht="15.75" customHeight="1">
      <ns0:c r="D52" s="21"/>
      <ns0:c r="E52" s="21"/>
      <ns0:c r="G52" s="21"/>
      <ns0:c r="H52" s="22"/>
      <ns0:c r="I52" s="23"/>
      <ns0:c r="J52" s="23"/>
      <ns0:c r="M52" s="24"/>
      <ns0:c r="R52" s="21"/>
    </ns0:row>
    <ns0:row r="53" ht="15.75" customHeight="1">
      <ns0:c r="D53" s="21"/>
      <ns0:c r="E53" s="21"/>
      <ns0:c r="G53" s="21"/>
      <ns0:c r="H53" s="22"/>
      <ns0:c r="I53" s="23"/>
      <ns0:c r="J53" s="23"/>
      <ns0:c r="M53" s="24"/>
      <ns0:c r="R53" s="21"/>
    </ns0:row>
    <ns0:row r="54" ht="15.75" customHeight="1">
      <ns0:c r="D54" s="21"/>
      <ns0:c r="E54" s="21"/>
      <ns0:c r="G54" s="21"/>
      <ns0:c r="H54" s="22"/>
      <ns0:c r="I54" s="23"/>
      <ns0:c r="J54" s="23"/>
      <ns0:c r="M54" s="24"/>
      <ns0:c r="R54" s="21"/>
    </ns0:row>
    <ns0:row r="55" ht="15.75" customHeight="1">
      <ns0:c r="D55" s="21"/>
      <ns0:c r="E55" s="21"/>
      <ns0:c r="G55" s="21"/>
      <ns0:c r="H55" s="22"/>
      <ns0:c r="I55" s="23"/>
      <ns0:c r="J55" s="23"/>
      <ns0:c r="M55" s="24"/>
      <ns0:c r="R55" s="21"/>
    </ns0:row>
    <ns0:row r="56" ht="15.75" customHeight="1">
      <ns0:c r="D56" s="21"/>
      <ns0:c r="E56" s="21"/>
      <ns0:c r="G56" s="21"/>
      <ns0:c r="H56" s="22"/>
      <ns0:c r="I56" s="23"/>
      <ns0:c r="J56" s="23"/>
      <ns0:c r="M56" s="24"/>
      <ns0:c r="R56" s="21"/>
    </ns0:row>
    <ns0:row r="57" ht="15.75" customHeight="1">
      <ns0:c r="D57" s="21"/>
      <ns0:c r="E57" s="21"/>
      <ns0:c r="G57" s="21"/>
      <ns0:c r="H57" s="22"/>
      <ns0:c r="I57" s="23"/>
      <ns0:c r="J57" s="23"/>
      <ns0:c r="M57" s="24"/>
      <ns0:c r="R57" s="21"/>
    </ns0:row>
    <ns0:row r="58" ht="15.75" customHeight="1">
      <ns0:c r="D58" s="21"/>
      <ns0:c r="E58" s="21"/>
      <ns0:c r="G58" s="21"/>
      <ns0:c r="H58" s="22"/>
      <ns0:c r="I58" s="23"/>
      <ns0:c r="J58" s="23"/>
      <ns0:c r="M58" s="24"/>
      <ns0:c r="R58" s="21"/>
    </ns0:row>
    <ns0:row r="59" ht="15.75" customHeight="1">
      <ns0:c r="D59" s="21"/>
      <ns0:c r="E59" s="21"/>
      <ns0:c r="G59" s="21"/>
      <ns0:c r="H59" s="22"/>
      <ns0:c r="I59" s="23"/>
      <ns0:c r="J59" s="23"/>
      <ns0:c r="M59" s="24"/>
      <ns0:c r="R59" s="21"/>
    </ns0:row>
    <ns0:row r="60" ht="15.75" customHeight="1">
      <ns0:c r="D60" s="21"/>
      <ns0:c r="E60" s="21"/>
      <ns0:c r="G60" s="21"/>
      <ns0:c r="H60" s="22"/>
      <ns0:c r="I60" s="23"/>
      <ns0:c r="J60" s="23"/>
      <ns0:c r="M60" s="24"/>
      <ns0:c r="R60" s="21"/>
    </ns0:row>
    <ns0:row r="61" ht="15.75" customHeight="1">
      <ns0:c r="D61" s="21"/>
      <ns0:c r="E61" s="21"/>
      <ns0:c r="G61" s="21"/>
      <ns0:c r="H61" s="22"/>
      <ns0:c r="I61" s="23"/>
      <ns0:c r="J61" s="23"/>
      <ns0:c r="M61" s="24"/>
      <ns0:c r="R61" s="21"/>
    </ns0:row>
    <ns0:row r="62" ht="15.75" customHeight="1">
      <ns0:c r="D62" s="21"/>
      <ns0:c r="E62" s="21"/>
      <ns0:c r="G62" s="21"/>
      <ns0:c r="H62" s="22"/>
      <ns0:c r="I62" s="23"/>
      <ns0:c r="J62" s="23"/>
      <ns0:c r="M62" s="24"/>
      <ns0:c r="R62" s="21"/>
    </ns0:row>
    <ns0:row r="63" ht="15.75" customHeight="1">
      <ns0:c r="D63" s="21"/>
      <ns0:c r="E63" s="21"/>
      <ns0:c r="G63" s="21"/>
      <ns0:c r="H63" s="22"/>
      <ns0:c r="I63" s="23"/>
      <ns0:c r="J63" s="23"/>
      <ns0:c r="M63" s="24"/>
      <ns0:c r="R63" s="21"/>
    </ns0:row>
    <ns0:row r="64" ht="15.75" customHeight="1">
      <ns0:c r="D64" s="21"/>
      <ns0:c r="E64" s="21"/>
      <ns0:c r="G64" s="21"/>
      <ns0:c r="H64" s="22"/>
      <ns0:c r="I64" s="23"/>
      <ns0:c r="J64" s="23"/>
      <ns0:c r="M64" s="24"/>
      <ns0:c r="R64" s="21"/>
    </ns0:row>
    <ns0:row r="65" ht="15.75" customHeight="1">
      <ns0:c r="D65" s="21"/>
      <ns0:c r="E65" s="21"/>
      <ns0:c r="G65" s="21"/>
      <ns0:c r="H65" s="22"/>
      <ns0:c r="I65" s="23"/>
      <ns0:c r="J65" s="23"/>
      <ns0:c r="M65" s="24"/>
      <ns0:c r="R65" s="21"/>
    </ns0:row>
    <ns0:row r="66" ht="15.75" customHeight="1">
      <ns0:c r="D66" s="21"/>
      <ns0:c r="E66" s="21"/>
      <ns0:c r="G66" s="21"/>
      <ns0:c r="H66" s="22"/>
      <ns0:c r="I66" s="23"/>
      <ns0:c r="J66" s="23"/>
      <ns0:c r="M66" s="24"/>
      <ns0:c r="R66" s="21"/>
    </ns0:row>
    <ns0:row r="67" ht="15.75" customHeight="1">
      <ns0:c r="D67" s="21"/>
      <ns0:c r="E67" s="21"/>
      <ns0:c r="G67" s="21"/>
      <ns0:c r="H67" s="22"/>
      <ns0:c r="I67" s="23"/>
      <ns0:c r="J67" s="23"/>
      <ns0:c r="M67" s="24"/>
      <ns0:c r="R67" s="21"/>
    </ns0:row>
    <ns0:row r="68" ht="15.75" customHeight="1">
      <ns0:c r="D68" s="21"/>
      <ns0:c r="E68" s="21"/>
      <ns0:c r="G68" s="21"/>
      <ns0:c r="H68" s="22"/>
      <ns0:c r="I68" s="23"/>
      <ns0:c r="J68" s="23"/>
      <ns0:c r="M68" s="24"/>
      <ns0:c r="R68" s="21"/>
    </ns0:row>
    <ns0:row r="69" ht="15.75" customHeight="1">
      <ns0:c r="D69" s="21"/>
      <ns0:c r="E69" s="21"/>
      <ns0:c r="G69" s="21"/>
      <ns0:c r="H69" s="22"/>
      <ns0:c r="I69" s="23"/>
      <ns0:c r="J69" s="23"/>
      <ns0:c r="M69" s="24"/>
      <ns0:c r="R69" s="21"/>
    </ns0:row>
    <ns0:row r="70" ht="15.75" customHeight="1">
      <ns0:c r="D70" s="21"/>
      <ns0:c r="E70" s="21"/>
      <ns0:c r="G70" s="21"/>
      <ns0:c r="H70" s="22"/>
      <ns0:c r="I70" s="23"/>
      <ns0:c r="J70" s="23"/>
      <ns0:c r="M70" s="24"/>
      <ns0:c r="R70" s="21"/>
    </ns0:row>
    <ns0:row r="71" ht="15.75" customHeight="1">
      <ns0:c r="D71" s="21"/>
      <ns0:c r="E71" s="21"/>
      <ns0:c r="G71" s="21"/>
      <ns0:c r="H71" s="22"/>
      <ns0:c r="I71" s="23"/>
      <ns0:c r="J71" s="23"/>
      <ns0:c r="M71" s="24"/>
      <ns0:c r="R71" s="21"/>
    </ns0:row>
    <ns0:row r="72" ht="15.75" customHeight="1">
      <ns0:c r="D72" s="21"/>
      <ns0:c r="E72" s="21"/>
      <ns0:c r="G72" s="21"/>
      <ns0:c r="H72" s="22"/>
      <ns0:c r="I72" s="23"/>
      <ns0:c r="J72" s="23"/>
      <ns0:c r="M72" s="24"/>
      <ns0:c r="R72" s="21"/>
    </ns0:row>
    <ns0:row r="73" ht="15.75" customHeight="1">
      <ns0:c r="D73" s="21"/>
      <ns0:c r="E73" s="21"/>
      <ns0:c r="G73" s="21"/>
      <ns0:c r="H73" s="22"/>
      <ns0:c r="I73" s="23"/>
      <ns0:c r="J73" s="23"/>
      <ns0:c r="M73" s="24"/>
      <ns0:c r="R73" s="21"/>
    </ns0:row>
    <ns0:row r="74" ht="15.75" customHeight="1">
      <ns0:c r="D74" s="21"/>
      <ns0:c r="E74" s="21"/>
      <ns0:c r="G74" s="21"/>
      <ns0:c r="H74" s="22"/>
      <ns0:c r="I74" s="23"/>
      <ns0:c r="J74" s="23"/>
      <ns0:c r="M74" s="24"/>
      <ns0:c r="R74" s="21"/>
    </ns0:row>
    <ns0:row r="75" ht="15.75" customHeight="1">
      <ns0:c r="D75" s="21"/>
      <ns0:c r="E75" s="21"/>
      <ns0:c r="G75" s="21"/>
      <ns0:c r="H75" s="22"/>
      <ns0:c r="I75" s="23"/>
      <ns0:c r="J75" s="23"/>
      <ns0:c r="M75" s="24"/>
      <ns0:c r="R75" s="21"/>
    </ns0:row>
    <ns0:row r="76" ht="15.75" customHeight="1">
      <ns0:c r="D76" s="21"/>
      <ns0:c r="E76" s="21"/>
      <ns0:c r="G76" s="21"/>
      <ns0:c r="H76" s="22"/>
      <ns0:c r="I76" s="23"/>
      <ns0:c r="J76" s="23"/>
      <ns0:c r="M76" s="24"/>
      <ns0:c r="R76" s="21"/>
    </ns0:row>
    <ns0:row r="77" ht="15.75" customHeight="1">
      <ns0:c r="D77" s="21"/>
      <ns0:c r="E77" s="21"/>
      <ns0:c r="G77" s="21"/>
      <ns0:c r="H77" s="22"/>
      <ns0:c r="I77" s="23"/>
      <ns0:c r="J77" s="23"/>
      <ns0:c r="M77" s="24"/>
      <ns0:c r="R77" s="21"/>
    </ns0:row>
    <ns0:row r="78" ht="15.75" customHeight="1">
      <ns0:c r="D78" s="21"/>
      <ns0:c r="E78" s="21"/>
      <ns0:c r="G78" s="21"/>
      <ns0:c r="H78" s="22"/>
      <ns0:c r="I78" s="23"/>
      <ns0:c r="J78" s="23"/>
      <ns0:c r="M78" s="24"/>
      <ns0:c r="R78" s="21"/>
    </ns0:row>
    <ns0:row r="79" ht="15.75" customHeight="1">
      <ns0:c r="D79" s="21"/>
      <ns0:c r="E79" s="21"/>
      <ns0:c r="G79" s="21"/>
      <ns0:c r="H79" s="22"/>
      <ns0:c r="I79" s="23"/>
      <ns0:c r="J79" s="23"/>
      <ns0:c r="M79" s="24"/>
      <ns0:c r="R79" s="21"/>
    </ns0:row>
    <ns0:row r="80" ht="15.75" customHeight="1">
      <ns0:c r="D80" s="21"/>
      <ns0:c r="E80" s="21"/>
      <ns0:c r="G80" s="21"/>
      <ns0:c r="H80" s="22"/>
      <ns0:c r="I80" s="23"/>
      <ns0:c r="J80" s="23"/>
      <ns0:c r="M80" s="24"/>
      <ns0:c r="R80" s="21"/>
    </ns0:row>
    <ns0:row r="81" ht="15.75" customHeight="1">
      <ns0:c r="D81" s="21"/>
      <ns0:c r="E81" s="21"/>
      <ns0:c r="G81" s="21"/>
      <ns0:c r="H81" s="22"/>
      <ns0:c r="I81" s="23"/>
      <ns0:c r="J81" s="23"/>
      <ns0:c r="M81" s="24"/>
      <ns0:c r="R81" s="21"/>
    </ns0:row>
    <ns0:row r="82" ht="15.75" customHeight="1">
      <ns0:c r="D82" s="21"/>
      <ns0:c r="E82" s="21"/>
      <ns0:c r="G82" s="21"/>
      <ns0:c r="H82" s="22"/>
      <ns0:c r="I82" s="23"/>
      <ns0:c r="J82" s="23"/>
      <ns0:c r="M82" s="24"/>
      <ns0:c r="R82" s="21"/>
    </ns0:row>
    <ns0:row r="83" ht="15.75" customHeight="1">
      <ns0:c r="D83" s="21"/>
      <ns0:c r="E83" s="21"/>
      <ns0:c r="G83" s="21"/>
      <ns0:c r="H83" s="22"/>
      <ns0:c r="I83" s="23"/>
      <ns0:c r="J83" s="23"/>
      <ns0:c r="M83" s="24"/>
      <ns0:c r="R83" s="21"/>
    </ns0:row>
    <ns0:row r="84" ht="15.75" customHeight="1">
      <ns0:c r="D84" s="21"/>
      <ns0:c r="E84" s="21"/>
      <ns0:c r="G84" s="21"/>
      <ns0:c r="H84" s="22"/>
      <ns0:c r="I84" s="23"/>
      <ns0:c r="J84" s="23"/>
      <ns0:c r="M84" s="24"/>
      <ns0:c r="R84" s="21"/>
    </ns0:row>
    <ns0:row r="85" ht="15.75" customHeight="1">
      <ns0:c r="D85" s="21"/>
      <ns0:c r="E85" s="21"/>
      <ns0:c r="G85" s="21"/>
      <ns0:c r="H85" s="22"/>
      <ns0:c r="I85" s="23"/>
      <ns0:c r="J85" s="23"/>
      <ns0:c r="M85" s="24"/>
      <ns0:c r="R85" s="21"/>
    </ns0:row>
    <ns0:row r="86" ht="15.75" customHeight="1">
      <ns0:c r="D86" s="21"/>
      <ns0:c r="E86" s="21"/>
      <ns0:c r="G86" s="21"/>
      <ns0:c r="H86" s="22"/>
      <ns0:c r="I86" s="23"/>
      <ns0:c r="J86" s="23"/>
      <ns0:c r="M86" s="24"/>
      <ns0:c r="R86" s="21"/>
    </ns0:row>
    <ns0:row r="87" ht="15.75" customHeight="1">
      <ns0:c r="D87" s="21"/>
      <ns0:c r="E87" s="21"/>
      <ns0:c r="G87" s="21"/>
      <ns0:c r="H87" s="22"/>
      <ns0:c r="I87" s="23"/>
      <ns0:c r="J87" s="23"/>
      <ns0:c r="M87" s="24"/>
      <ns0:c r="R87" s="21"/>
    </ns0:row>
    <ns0:row r="88" ht="15.75" customHeight="1">
      <ns0:c r="D88" s="21"/>
      <ns0:c r="E88" s="21"/>
      <ns0:c r="G88" s="21"/>
      <ns0:c r="H88" s="22"/>
      <ns0:c r="I88" s="23"/>
      <ns0:c r="J88" s="23"/>
      <ns0:c r="M88" s="24"/>
      <ns0:c r="R88" s="21"/>
    </ns0:row>
    <ns0:row r="89" ht="15.75" customHeight="1">
      <ns0:c r="D89" s="21"/>
      <ns0:c r="E89" s="21"/>
      <ns0:c r="G89" s="21"/>
      <ns0:c r="H89" s="22"/>
      <ns0:c r="I89" s="23"/>
      <ns0:c r="J89" s="23"/>
      <ns0:c r="M89" s="24"/>
      <ns0:c r="R89" s="21"/>
    </ns0:row>
    <ns0:row r="90" ht="15.75" customHeight="1">
      <ns0:c r="D90" s="21"/>
      <ns0:c r="E90" s="21"/>
      <ns0:c r="G90" s="21"/>
      <ns0:c r="H90" s="22"/>
      <ns0:c r="I90" s="23"/>
      <ns0:c r="J90" s="23"/>
      <ns0:c r="M90" s="24"/>
      <ns0:c r="R90" s="21"/>
    </ns0:row>
    <ns0:row r="91" ht="15.75" customHeight="1">
      <ns0:c r="D91" s="21"/>
      <ns0:c r="E91" s="21"/>
      <ns0:c r="G91" s="21"/>
      <ns0:c r="H91" s="22"/>
      <ns0:c r="I91" s="23"/>
      <ns0:c r="J91" s="23"/>
      <ns0:c r="M91" s="24"/>
      <ns0:c r="R91" s="21"/>
    </ns0:row>
    <ns0:row r="92" ht="15.75" customHeight="1">
      <ns0:c r="D92" s="21"/>
      <ns0:c r="E92" s="21"/>
      <ns0:c r="G92" s="21"/>
      <ns0:c r="H92" s="22"/>
      <ns0:c r="I92" s="23"/>
      <ns0:c r="J92" s="23"/>
      <ns0:c r="M92" s="24"/>
      <ns0:c r="R92" s="21"/>
    </ns0:row>
    <ns0:row r="93" ht="15.75" customHeight="1">
      <ns0:c r="D93" s="21"/>
      <ns0:c r="E93" s="21"/>
      <ns0:c r="G93" s="21"/>
      <ns0:c r="H93" s="22"/>
      <ns0:c r="I93" s="23"/>
      <ns0:c r="J93" s="23"/>
      <ns0:c r="M93" s="24"/>
      <ns0:c r="R93" s="21"/>
    </ns0:row>
    <ns0:row r="94" ht="15.75" customHeight="1">
      <ns0:c r="D94" s="21"/>
      <ns0:c r="E94" s="21"/>
      <ns0:c r="G94" s="21"/>
      <ns0:c r="H94" s="22"/>
      <ns0:c r="I94" s="23"/>
      <ns0:c r="J94" s="23"/>
      <ns0:c r="M94" s="24"/>
      <ns0:c r="R94" s="21"/>
    </ns0:row>
    <ns0:row r="95" ht="15.75" customHeight="1">
      <ns0:c r="D95" s="21"/>
      <ns0:c r="E95" s="21"/>
      <ns0:c r="G95" s="21"/>
      <ns0:c r="H95" s="22"/>
      <ns0:c r="I95" s="23"/>
      <ns0:c r="J95" s="23"/>
      <ns0:c r="M95" s="24"/>
      <ns0:c r="R95" s="21"/>
    </ns0:row>
    <ns0:row r="96" ht="15.75" customHeight="1">
      <ns0:c r="D96" s="21"/>
      <ns0:c r="E96" s="21"/>
      <ns0:c r="G96" s="21"/>
      <ns0:c r="H96" s="22"/>
      <ns0:c r="I96" s="23"/>
      <ns0:c r="J96" s="23"/>
      <ns0:c r="M96" s="24"/>
      <ns0:c r="R96" s="21"/>
    </ns0:row>
    <ns0:row r="97" ht="15.75" customHeight="1">
      <ns0:c r="D97" s="21"/>
      <ns0:c r="E97" s="21"/>
      <ns0:c r="G97" s="21"/>
      <ns0:c r="H97" s="22"/>
      <ns0:c r="I97" s="23"/>
      <ns0:c r="J97" s="23"/>
      <ns0:c r="M97" s="24"/>
      <ns0:c r="R97" s="21"/>
    </ns0:row>
    <ns0:row r="98" ht="15.75" customHeight="1">
      <ns0:c r="D98" s="21"/>
      <ns0:c r="E98" s="21"/>
      <ns0:c r="G98" s="21"/>
      <ns0:c r="H98" s="22"/>
      <ns0:c r="I98" s="23"/>
      <ns0:c r="J98" s="23"/>
      <ns0:c r="M98" s="24"/>
      <ns0:c r="R98" s="21"/>
    </ns0:row>
    <ns0:row r="99" ht="15.75" customHeight="1">
      <ns0:c r="D99" s="21"/>
      <ns0:c r="E99" s="21"/>
      <ns0:c r="G99" s="21"/>
      <ns0:c r="H99" s="22"/>
      <ns0:c r="I99" s="23"/>
      <ns0:c r="J99" s="23"/>
      <ns0:c r="M99" s="24"/>
      <ns0:c r="R99" s="21"/>
    </ns0:row>
    <ns0:row r="100" ht="15.75" customHeight="1">
      <ns0:c r="D100" s="21"/>
      <ns0:c r="E100" s="21"/>
      <ns0:c r="G100" s="21"/>
      <ns0:c r="H100" s="22"/>
      <ns0:c r="I100" s="23"/>
      <ns0:c r="J100" s="23"/>
      <ns0:c r="M100" s="24"/>
      <ns0:c r="R100" s="21"/>
    </ns0:row>
    <ns0:row r="101" ht="15.75" customHeight="1">
      <ns0:c r="D101" s="21"/>
      <ns0:c r="E101" s="21"/>
      <ns0:c r="G101" s="21"/>
      <ns0:c r="H101" s="22"/>
      <ns0:c r="I101" s="23"/>
      <ns0:c r="J101" s="23"/>
      <ns0:c r="M101" s="24"/>
      <ns0:c r="R101" s="21"/>
    </ns0:row>
    <ns0:row r="102" ht="15.75" customHeight="1">
      <ns0:c r="D102" s="21"/>
      <ns0:c r="E102" s="21"/>
      <ns0:c r="G102" s="21"/>
      <ns0:c r="H102" s="22"/>
      <ns0:c r="I102" s="23"/>
      <ns0:c r="J102" s="23"/>
      <ns0:c r="M102" s="24"/>
      <ns0:c r="R102" s="21"/>
    </ns0:row>
    <ns0:row r="103" ht="15.75" customHeight="1">
      <ns0:c r="D103" s="21"/>
      <ns0:c r="E103" s="21"/>
      <ns0:c r="G103" s="21"/>
      <ns0:c r="H103" s="22"/>
      <ns0:c r="I103" s="23"/>
      <ns0:c r="J103" s="23"/>
      <ns0:c r="M103" s="24"/>
      <ns0:c r="R103" s="21"/>
    </ns0:row>
    <ns0:row r="104" ht="15.75" customHeight="1">
      <ns0:c r="D104" s="21"/>
      <ns0:c r="E104" s="21"/>
      <ns0:c r="G104" s="21"/>
      <ns0:c r="H104" s="22"/>
      <ns0:c r="I104" s="23"/>
      <ns0:c r="J104" s="23"/>
      <ns0:c r="M104" s="24"/>
      <ns0:c r="R104" s="21"/>
    </ns0:row>
    <ns0:row r="105" ht="15.75" customHeight="1">
      <ns0:c r="D105" s="21"/>
      <ns0:c r="E105" s="21"/>
      <ns0:c r="G105" s="21"/>
      <ns0:c r="H105" s="22"/>
      <ns0:c r="I105" s="23"/>
      <ns0:c r="J105" s="23"/>
      <ns0:c r="M105" s="24"/>
      <ns0:c r="R105" s="21"/>
    </ns0:row>
    <ns0:row r="106" ht="15.75" customHeight="1">
      <ns0:c r="D106" s="21"/>
      <ns0:c r="E106" s="21"/>
      <ns0:c r="G106" s="21"/>
      <ns0:c r="H106" s="22"/>
      <ns0:c r="I106" s="23"/>
      <ns0:c r="J106" s="23"/>
      <ns0:c r="M106" s="24"/>
      <ns0:c r="R106" s="21"/>
    </ns0:row>
    <ns0:row r="107" ht="15.75" customHeight="1">
      <ns0:c r="D107" s="21"/>
      <ns0:c r="E107" s="21"/>
      <ns0:c r="G107" s="21"/>
      <ns0:c r="H107" s="22"/>
      <ns0:c r="I107" s="23"/>
      <ns0:c r="J107" s="23"/>
      <ns0:c r="M107" s="24"/>
      <ns0:c r="R107" s="21"/>
    </ns0:row>
    <ns0:row r="108" ht="15.75" customHeight="1">
      <ns0:c r="D108" s="21"/>
      <ns0:c r="E108" s="21"/>
      <ns0:c r="G108" s="21"/>
      <ns0:c r="H108" s="22"/>
      <ns0:c r="I108" s="23"/>
      <ns0:c r="J108" s="23"/>
      <ns0:c r="M108" s="24"/>
      <ns0:c r="R108" s="21"/>
    </ns0:row>
    <ns0:row r="109" ht="15.75" customHeight="1">
      <ns0:c r="D109" s="21"/>
      <ns0:c r="E109" s="21"/>
      <ns0:c r="G109" s="21"/>
      <ns0:c r="H109" s="22"/>
      <ns0:c r="I109" s="23"/>
      <ns0:c r="J109" s="23"/>
      <ns0:c r="M109" s="24"/>
      <ns0:c r="R109" s="21"/>
    </ns0:row>
    <ns0:row r="110" ht="15.75" customHeight="1">
      <ns0:c r="D110" s="21"/>
      <ns0:c r="E110" s="21"/>
      <ns0:c r="G110" s="21"/>
      <ns0:c r="H110" s="22"/>
      <ns0:c r="I110" s="23"/>
      <ns0:c r="J110" s="23"/>
      <ns0:c r="M110" s="24"/>
      <ns0:c r="R110" s="21"/>
    </ns0:row>
    <ns0:row r="111" ht="15.75" customHeight="1">
      <ns0:c r="D111" s="21"/>
      <ns0:c r="E111" s="21"/>
      <ns0:c r="G111" s="21"/>
      <ns0:c r="H111" s="22"/>
      <ns0:c r="I111" s="23"/>
      <ns0:c r="J111" s="23"/>
      <ns0:c r="M111" s="24"/>
      <ns0:c r="R111" s="21"/>
    </ns0:row>
    <ns0:row r="112" ht="15.75" customHeight="1">
      <ns0:c r="D112" s="21"/>
      <ns0:c r="E112" s="21"/>
      <ns0:c r="G112" s="21"/>
      <ns0:c r="H112" s="22"/>
      <ns0:c r="I112" s="23"/>
      <ns0:c r="J112" s="23"/>
      <ns0:c r="M112" s="24"/>
      <ns0:c r="R112" s="21"/>
    </ns0:row>
    <ns0:row r="113" ht="15.75" customHeight="1">
      <ns0:c r="D113" s="21"/>
      <ns0:c r="E113" s="21"/>
      <ns0:c r="G113" s="21"/>
      <ns0:c r="H113" s="22"/>
      <ns0:c r="I113" s="23"/>
      <ns0:c r="J113" s="23"/>
      <ns0:c r="M113" s="24"/>
      <ns0:c r="R113" s="21"/>
    </ns0:row>
    <ns0:row r="114" ht="15.75" customHeight="1">
      <ns0:c r="D114" s="21"/>
      <ns0:c r="E114" s="21"/>
      <ns0:c r="G114" s="21"/>
      <ns0:c r="H114" s="22"/>
      <ns0:c r="I114" s="23"/>
      <ns0:c r="J114" s="23"/>
      <ns0:c r="M114" s="24"/>
      <ns0:c r="R114" s="21"/>
    </ns0:row>
    <ns0:row r="115" ht="15.75" customHeight="1">
      <ns0:c r="D115" s="21"/>
      <ns0:c r="E115" s="21"/>
      <ns0:c r="G115" s="21"/>
      <ns0:c r="H115" s="22"/>
      <ns0:c r="I115" s="23"/>
      <ns0:c r="J115" s="23"/>
      <ns0:c r="M115" s="24"/>
      <ns0:c r="R115" s="21"/>
    </ns0:row>
    <ns0:row r="116" ht="15.75" customHeight="1">
      <ns0:c r="D116" s="21"/>
      <ns0:c r="E116" s="21"/>
      <ns0:c r="G116" s="21"/>
      <ns0:c r="H116" s="22"/>
      <ns0:c r="I116" s="23"/>
      <ns0:c r="J116" s="23"/>
      <ns0:c r="M116" s="24"/>
      <ns0:c r="R116" s="21"/>
    </ns0:row>
    <ns0:row r="117" ht="15.75" customHeight="1">
      <ns0:c r="D117" s="21"/>
      <ns0:c r="E117" s="21"/>
      <ns0:c r="G117" s="21"/>
      <ns0:c r="H117" s="22"/>
      <ns0:c r="I117" s="23"/>
      <ns0:c r="J117" s="23"/>
      <ns0:c r="M117" s="24"/>
      <ns0:c r="R117" s="21"/>
    </ns0:row>
    <ns0:row r="118" ht="15.75" customHeight="1">
      <ns0:c r="D118" s="21"/>
      <ns0:c r="E118" s="21"/>
      <ns0:c r="G118" s="21"/>
      <ns0:c r="H118" s="22"/>
      <ns0:c r="I118" s="23"/>
      <ns0:c r="J118" s="23"/>
      <ns0:c r="M118" s="24"/>
      <ns0:c r="R118" s="21"/>
    </ns0:row>
    <ns0:row r="119" ht="15.75" customHeight="1">
      <ns0:c r="D119" s="21"/>
      <ns0:c r="E119" s="21"/>
      <ns0:c r="G119" s="21"/>
      <ns0:c r="H119" s="22"/>
      <ns0:c r="I119" s="23"/>
      <ns0:c r="J119" s="23"/>
      <ns0:c r="M119" s="24"/>
      <ns0:c r="R119" s="21"/>
    </ns0:row>
    <ns0:row r="120" ht="15.75" customHeight="1">
      <ns0:c r="D120" s="21"/>
      <ns0:c r="E120" s="21"/>
      <ns0:c r="G120" s="21"/>
      <ns0:c r="H120" s="22"/>
      <ns0:c r="I120" s="23"/>
      <ns0:c r="J120" s="23"/>
      <ns0:c r="M120" s="24"/>
      <ns0:c r="R120" s="21"/>
    </ns0:row>
    <ns0:row r="121" ht="15.75" customHeight="1">
      <ns0:c r="D121" s="21"/>
      <ns0:c r="E121" s="21"/>
      <ns0:c r="G121" s="21"/>
      <ns0:c r="H121" s="22"/>
      <ns0:c r="I121" s="23"/>
      <ns0:c r="J121" s="23"/>
      <ns0:c r="M121" s="24"/>
      <ns0:c r="R121" s="21"/>
    </ns0:row>
    <ns0:row r="122" ht="15.75" customHeight="1">
      <ns0:c r="D122" s="21"/>
      <ns0:c r="E122" s="21"/>
      <ns0:c r="G122" s="21"/>
      <ns0:c r="H122" s="22"/>
      <ns0:c r="I122" s="23"/>
      <ns0:c r="J122" s="23"/>
      <ns0:c r="M122" s="24"/>
      <ns0:c r="R122" s="21"/>
    </ns0:row>
    <ns0:row r="123" ht="15.75" customHeight="1">
      <ns0:c r="D123" s="21"/>
      <ns0:c r="E123" s="21"/>
      <ns0:c r="G123" s="21"/>
      <ns0:c r="H123" s="22"/>
      <ns0:c r="I123" s="23"/>
      <ns0:c r="J123" s="23"/>
      <ns0:c r="M123" s="24"/>
      <ns0:c r="R123" s="21"/>
    </ns0:row>
    <ns0:row r="124" ht="15.75" customHeight="1">
      <ns0:c r="D124" s="21"/>
      <ns0:c r="E124" s="21"/>
      <ns0:c r="G124" s="21"/>
      <ns0:c r="H124" s="22"/>
      <ns0:c r="I124" s="23"/>
      <ns0:c r="J124" s="23"/>
      <ns0:c r="M124" s="24"/>
      <ns0:c r="R124" s="21"/>
    </ns0:row>
    <ns0:row r="125" ht="15.75" customHeight="1">
      <ns0:c r="D125" s="21"/>
      <ns0:c r="E125" s="21"/>
      <ns0:c r="G125" s="21"/>
      <ns0:c r="H125" s="22"/>
      <ns0:c r="I125" s="23"/>
      <ns0:c r="J125" s="23"/>
      <ns0:c r="M125" s="24"/>
      <ns0:c r="R125" s="21"/>
    </ns0:row>
    <ns0:row r="126" ht="15.75" customHeight="1">
      <ns0:c r="D126" s="21"/>
      <ns0:c r="E126" s="21"/>
      <ns0:c r="G126" s="21"/>
      <ns0:c r="H126" s="22"/>
      <ns0:c r="I126" s="23"/>
      <ns0:c r="J126" s="23"/>
      <ns0:c r="M126" s="24"/>
      <ns0:c r="R126" s="21"/>
    </ns0:row>
    <ns0:row r="127" ht="15.75" customHeight="1">
      <ns0:c r="D127" s="21"/>
      <ns0:c r="E127" s="21"/>
      <ns0:c r="G127" s="21"/>
      <ns0:c r="H127" s="22"/>
      <ns0:c r="I127" s="23"/>
      <ns0:c r="J127" s="23"/>
      <ns0:c r="M127" s="24"/>
      <ns0:c r="R127" s="21"/>
    </ns0:row>
    <ns0:row r="128" ht="15.75" customHeight="1">
      <ns0:c r="D128" s="21"/>
      <ns0:c r="E128" s="21"/>
      <ns0:c r="G128" s="21"/>
      <ns0:c r="H128" s="22"/>
      <ns0:c r="I128" s="23"/>
      <ns0:c r="J128" s="23"/>
      <ns0:c r="M128" s="24"/>
      <ns0:c r="R128" s="21"/>
    </ns0:row>
    <ns0:row r="129" ht="15.75" customHeight="1">
      <ns0:c r="D129" s="21"/>
      <ns0:c r="E129" s="21"/>
      <ns0:c r="G129" s="21"/>
      <ns0:c r="H129" s="22"/>
      <ns0:c r="I129" s="23"/>
      <ns0:c r="J129" s="23"/>
      <ns0:c r="M129" s="24"/>
      <ns0:c r="R129" s="21"/>
    </ns0:row>
    <ns0:row r="130" ht="15.75" customHeight="1">
      <ns0:c r="D130" s="21"/>
      <ns0:c r="E130" s="21"/>
      <ns0:c r="G130" s="21"/>
      <ns0:c r="H130" s="22"/>
      <ns0:c r="I130" s="23"/>
      <ns0:c r="J130" s="23"/>
      <ns0:c r="M130" s="24"/>
      <ns0:c r="R130" s="21"/>
    </ns0:row>
    <ns0:row r="131" ht="15.75" customHeight="1">
      <ns0:c r="D131" s="21"/>
      <ns0:c r="E131" s="21"/>
      <ns0:c r="G131" s="21"/>
      <ns0:c r="H131" s="22"/>
      <ns0:c r="I131" s="23"/>
      <ns0:c r="J131" s="23"/>
      <ns0:c r="M131" s="24"/>
      <ns0:c r="R131" s="21"/>
    </ns0:row>
    <ns0:row r="132" ht="15.75" customHeight="1">
      <ns0:c r="D132" s="21"/>
      <ns0:c r="E132" s="21"/>
      <ns0:c r="G132" s="21"/>
      <ns0:c r="H132" s="22"/>
      <ns0:c r="I132" s="23"/>
      <ns0:c r="J132" s="23"/>
      <ns0:c r="M132" s="24"/>
      <ns0:c r="R132" s="21"/>
    </ns0:row>
    <ns0:row r="133" ht="15.75" customHeight="1">
      <ns0:c r="D133" s="21"/>
      <ns0:c r="E133" s="21"/>
      <ns0:c r="G133" s="21"/>
      <ns0:c r="H133" s="22"/>
      <ns0:c r="I133" s="23"/>
      <ns0:c r="J133" s="23"/>
      <ns0:c r="M133" s="24"/>
      <ns0:c r="R133" s="21"/>
    </ns0:row>
    <ns0:row r="134" ht="15.75" customHeight="1">
      <ns0:c r="D134" s="21"/>
      <ns0:c r="E134" s="21"/>
      <ns0:c r="G134" s="21"/>
      <ns0:c r="H134" s="22"/>
      <ns0:c r="I134" s="23"/>
      <ns0:c r="J134" s="23"/>
      <ns0:c r="M134" s="24"/>
      <ns0:c r="R134" s="21"/>
    </ns0:row>
    <ns0:row r="135" ht="15.75" customHeight="1">
      <ns0:c r="D135" s="21"/>
      <ns0:c r="E135" s="21"/>
      <ns0:c r="G135" s="21"/>
      <ns0:c r="H135" s="22"/>
      <ns0:c r="I135" s="23"/>
      <ns0:c r="J135" s="23"/>
      <ns0:c r="M135" s="24"/>
      <ns0:c r="R135" s="21"/>
    </ns0:row>
    <ns0:row r="136" ht="15.75" customHeight="1">
      <ns0:c r="D136" s="21"/>
      <ns0:c r="E136" s="21"/>
      <ns0:c r="G136" s="21"/>
      <ns0:c r="H136" s="22"/>
      <ns0:c r="I136" s="23"/>
      <ns0:c r="J136" s="23"/>
      <ns0:c r="M136" s="24"/>
      <ns0:c r="R136" s="21"/>
    </ns0:row>
    <ns0:row r="137" ht="15.75" customHeight="1">
      <ns0:c r="D137" s="21"/>
      <ns0:c r="E137" s="21"/>
      <ns0:c r="G137" s="21"/>
      <ns0:c r="H137" s="22"/>
      <ns0:c r="I137" s="23"/>
      <ns0:c r="J137" s="23"/>
      <ns0:c r="M137" s="24"/>
      <ns0:c r="R137" s="21"/>
    </ns0:row>
    <ns0:row r="138" ht="15.75" customHeight="1">
      <ns0:c r="D138" s="21"/>
      <ns0:c r="E138" s="21"/>
      <ns0:c r="G138" s="21"/>
      <ns0:c r="H138" s="22"/>
      <ns0:c r="I138" s="23"/>
      <ns0:c r="J138" s="23"/>
      <ns0:c r="M138" s="24"/>
      <ns0:c r="R138" s="21"/>
    </ns0:row>
    <ns0:row r="139" ht="15.75" customHeight="1">
      <ns0:c r="D139" s="21"/>
      <ns0:c r="E139" s="21"/>
      <ns0:c r="G139" s="21"/>
      <ns0:c r="H139" s="22"/>
      <ns0:c r="I139" s="23"/>
      <ns0:c r="J139" s="23"/>
      <ns0:c r="M139" s="24"/>
      <ns0:c r="R139" s="21"/>
    </ns0:row>
    <ns0:row r="140" ht="15.75" customHeight="1">
      <ns0:c r="D140" s="21"/>
      <ns0:c r="E140" s="21"/>
      <ns0:c r="G140" s="21"/>
      <ns0:c r="H140" s="22"/>
      <ns0:c r="I140" s="23"/>
      <ns0:c r="J140" s="23"/>
      <ns0:c r="M140" s="24"/>
      <ns0:c r="R140" s="21"/>
    </ns0:row>
    <ns0:row r="141" ht="15.75" customHeight="1">
      <ns0:c r="D141" s="21"/>
      <ns0:c r="E141" s="21"/>
      <ns0:c r="G141" s="21"/>
      <ns0:c r="H141" s="22"/>
      <ns0:c r="I141" s="23"/>
      <ns0:c r="J141" s="23"/>
      <ns0:c r="M141" s="24"/>
      <ns0:c r="R141" s="21"/>
    </ns0:row>
    <ns0:row r="142" ht="15.75" customHeight="1">
      <ns0:c r="D142" s="21"/>
      <ns0:c r="E142" s="21"/>
      <ns0:c r="G142" s="21"/>
      <ns0:c r="H142" s="22"/>
      <ns0:c r="I142" s="23"/>
      <ns0:c r="J142" s="23"/>
      <ns0:c r="M142" s="24"/>
      <ns0:c r="R142" s="21"/>
    </ns0:row>
    <ns0:row r="143" ht="15.75" customHeight="1">
      <ns0:c r="D143" s="21"/>
      <ns0:c r="E143" s="21"/>
      <ns0:c r="G143" s="21"/>
      <ns0:c r="H143" s="22"/>
      <ns0:c r="I143" s="23"/>
      <ns0:c r="J143" s="23"/>
      <ns0:c r="M143" s="24"/>
      <ns0:c r="R143" s="21"/>
    </ns0:row>
    <ns0:row r="144" ht="15.75" customHeight="1">
      <ns0:c r="D144" s="21"/>
      <ns0:c r="E144" s="21"/>
      <ns0:c r="G144" s="21"/>
      <ns0:c r="H144" s="22"/>
      <ns0:c r="I144" s="23"/>
      <ns0:c r="J144" s="23"/>
      <ns0:c r="M144" s="24"/>
      <ns0:c r="R144" s="21"/>
    </ns0:row>
    <ns0:row r="145" ht="15.75" customHeight="1">
      <ns0:c r="D145" s="21"/>
      <ns0:c r="E145" s="21"/>
      <ns0:c r="G145" s="21"/>
      <ns0:c r="H145" s="22"/>
      <ns0:c r="I145" s="23"/>
      <ns0:c r="J145" s="23"/>
      <ns0:c r="M145" s="24"/>
      <ns0:c r="R145" s="21"/>
    </ns0:row>
    <ns0:row r="146" ht="15.75" customHeight="1">
      <ns0:c r="D146" s="21"/>
      <ns0:c r="E146" s="21"/>
      <ns0:c r="G146" s="21"/>
      <ns0:c r="H146" s="22"/>
      <ns0:c r="I146" s="23"/>
      <ns0:c r="J146" s="23"/>
      <ns0:c r="M146" s="24"/>
      <ns0:c r="R146" s="21"/>
    </ns0:row>
    <ns0:row r="147" ht="15.75" customHeight="1">
      <ns0:c r="D147" s="21"/>
      <ns0:c r="E147" s="21"/>
      <ns0:c r="G147" s="21"/>
      <ns0:c r="H147" s="22"/>
      <ns0:c r="I147" s="23"/>
      <ns0:c r="J147" s="23"/>
      <ns0:c r="M147" s="24"/>
      <ns0:c r="R147" s="21"/>
    </ns0:row>
    <ns0:row r="148" ht="15.75" customHeight="1">
      <ns0:c r="D148" s="21"/>
      <ns0:c r="E148" s="21"/>
      <ns0:c r="G148" s="21"/>
      <ns0:c r="H148" s="22"/>
      <ns0:c r="I148" s="23"/>
      <ns0:c r="J148" s="23"/>
      <ns0:c r="M148" s="24"/>
      <ns0:c r="R148" s="21"/>
    </ns0:row>
    <ns0:row r="149" ht="15.75" customHeight="1">
      <ns0:c r="D149" s="21"/>
      <ns0:c r="E149" s="21"/>
      <ns0:c r="G149" s="21"/>
      <ns0:c r="H149" s="22"/>
      <ns0:c r="I149" s="23"/>
      <ns0:c r="J149" s="23"/>
      <ns0:c r="M149" s="24"/>
      <ns0:c r="R149" s="21"/>
    </ns0:row>
    <ns0:row r="150" ht="15.75" customHeight="1">
      <ns0:c r="D150" s="21"/>
      <ns0:c r="E150" s="21"/>
      <ns0:c r="G150" s="21"/>
      <ns0:c r="H150" s="22"/>
      <ns0:c r="I150" s="23"/>
      <ns0:c r="J150" s="23"/>
      <ns0:c r="M150" s="24"/>
      <ns0:c r="R150" s="21"/>
    </ns0:row>
    <ns0:row r="151" ht="15.75" customHeight="1">
      <ns0:c r="D151" s="21"/>
      <ns0:c r="E151" s="21"/>
      <ns0:c r="G151" s="21"/>
      <ns0:c r="H151" s="22"/>
      <ns0:c r="I151" s="23"/>
      <ns0:c r="J151" s="23"/>
      <ns0:c r="M151" s="24"/>
      <ns0:c r="R151" s="21"/>
    </ns0:row>
    <ns0:row r="152" ht="15.75" customHeight="1">
      <ns0:c r="D152" s="21"/>
      <ns0:c r="E152" s="21"/>
      <ns0:c r="G152" s="21"/>
      <ns0:c r="H152" s="22"/>
      <ns0:c r="I152" s="23"/>
      <ns0:c r="J152" s="23"/>
      <ns0:c r="M152" s="24"/>
      <ns0:c r="R152" s="21"/>
    </ns0:row>
    <ns0:row r="153" ht="15.75" customHeight="1">
      <ns0:c r="D153" s="21"/>
      <ns0:c r="E153" s="21"/>
      <ns0:c r="G153" s="21"/>
      <ns0:c r="H153" s="22"/>
      <ns0:c r="I153" s="23"/>
      <ns0:c r="J153" s="23"/>
      <ns0:c r="M153" s="24"/>
      <ns0:c r="R153" s="21"/>
    </ns0:row>
    <ns0:row r="154" ht="15.75" customHeight="1">
      <ns0:c r="D154" s="21"/>
      <ns0:c r="E154" s="21"/>
      <ns0:c r="G154" s="21"/>
      <ns0:c r="H154" s="22"/>
      <ns0:c r="I154" s="23"/>
      <ns0:c r="J154" s="23"/>
      <ns0:c r="M154" s="24"/>
      <ns0:c r="R154" s="21"/>
    </ns0:row>
    <ns0:row r="155" ht="15.75" customHeight="1">
      <ns0:c r="D155" s="21"/>
      <ns0:c r="E155" s="21"/>
      <ns0:c r="G155" s="21"/>
      <ns0:c r="H155" s="22"/>
      <ns0:c r="I155" s="23"/>
      <ns0:c r="J155" s="23"/>
      <ns0:c r="M155" s="24"/>
      <ns0:c r="R155" s="21"/>
    </ns0:row>
    <ns0:row r="156" ht="15.75" customHeight="1">
      <ns0:c r="D156" s="21"/>
      <ns0:c r="E156" s="21"/>
      <ns0:c r="G156" s="21"/>
      <ns0:c r="H156" s="22"/>
      <ns0:c r="I156" s="23"/>
      <ns0:c r="J156" s="23"/>
      <ns0:c r="M156" s="24"/>
      <ns0:c r="R156" s="21"/>
    </ns0:row>
    <ns0:row r="157" ht="15.75" customHeight="1">
      <ns0:c r="D157" s="21"/>
      <ns0:c r="E157" s="21"/>
      <ns0:c r="G157" s="21"/>
      <ns0:c r="H157" s="22"/>
      <ns0:c r="I157" s="23"/>
      <ns0:c r="J157" s="23"/>
      <ns0:c r="M157" s="24"/>
      <ns0:c r="R157" s="21"/>
    </ns0:row>
    <ns0:row r="158" ht="15.75" customHeight="1">
      <ns0:c r="D158" s="21"/>
      <ns0:c r="E158" s="21"/>
      <ns0:c r="G158" s="21"/>
      <ns0:c r="H158" s="22"/>
      <ns0:c r="I158" s="23"/>
      <ns0:c r="J158" s="23"/>
      <ns0:c r="M158" s="24"/>
      <ns0:c r="R158" s="21"/>
    </ns0:row>
    <ns0:row r="159" ht="15.75" customHeight="1">
      <ns0:c r="D159" s="21"/>
      <ns0:c r="E159" s="21"/>
      <ns0:c r="G159" s="21"/>
      <ns0:c r="H159" s="22"/>
      <ns0:c r="I159" s="23"/>
      <ns0:c r="J159" s="23"/>
      <ns0:c r="M159" s="24"/>
      <ns0:c r="R159" s="21"/>
    </ns0:row>
    <ns0:row r="160" ht="15.75" customHeight="1">
      <ns0:c r="D160" s="21"/>
      <ns0:c r="E160" s="21"/>
      <ns0:c r="G160" s="21"/>
      <ns0:c r="H160" s="22"/>
      <ns0:c r="I160" s="23"/>
      <ns0:c r="J160" s="23"/>
      <ns0:c r="M160" s="24"/>
      <ns0:c r="R160" s="21"/>
    </ns0:row>
    <ns0:row r="161" ht="15.75" customHeight="1">
      <ns0:c r="D161" s="21"/>
      <ns0:c r="E161" s="21"/>
      <ns0:c r="G161" s="21"/>
      <ns0:c r="H161" s="22"/>
      <ns0:c r="I161" s="23"/>
      <ns0:c r="J161" s="23"/>
      <ns0:c r="M161" s="24"/>
      <ns0:c r="R161" s="21"/>
    </ns0:row>
    <ns0:row r="162" ht="15.75" customHeight="1">
      <ns0:c r="D162" s="21"/>
      <ns0:c r="E162" s="21"/>
      <ns0:c r="G162" s="21"/>
      <ns0:c r="H162" s="22"/>
      <ns0:c r="I162" s="23"/>
      <ns0:c r="J162" s="23"/>
      <ns0:c r="M162" s="24"/>
      <ns0:c r="R162" s="21"/>
    </ns0:row>
    <ns0:row r="163" ht="15.75" customHeight="1">
      <ns0:c r="D163" s="21"/>
      <ns0:c r="E163" s="21"/>
      <ns0:c r="G163" s="21"/>
      <ns0:c r="H163" s="22"/>
      <ns0:c r="I163" s="23"/>
      <ns0:c r="J163" s="23"/>
      <ns0:c r="M163" s="24"/>
      <ns0:c r="R163" s="21"/>
    </ns0:row>
    <ns0:row r="164" ht="15.75" customHeight="1">
      <ns0:c r="D164" s="21"/>
      <ns0:c r="E164" s="21"/>
      <ns0:c r="G164" s="21"/>
      <ns0:c r="H164" s="22"/>
      <ns0:c r="I164" s="23"/>
      <ns0:c r="J164" s="23"/>
      <ns0:c r="M164" s="24"/>
      <ns0:c r="R164" s="21"/>
    </ns0:row>
    <ns0:row r="165" ht="15.75" customHeight="1">
      <ns0:c r="D165" s="21"/>
      <ns0:c r="E165" s="21"/>
      <ns0:c r="G165" s="21"/>
      <ns0:c r="H165" s="22"/>
      <ns0:c r="I165" s="23"/>
      <ns0:c r="J165" s="23"/>
      <ns0:c r="M165" s="24"/>
      <ns0:c r="R165" s="21"/>
    </ns0:row>
    <ns0:row r="166" ht="15.75" customHeight="1">
      <ns0:c r="D166" s="21"/>
      <ns0:c r="E166" s="21"/>
      <ns0:c r="G166" s="21"/>
      <ns0:c r="H166" s="22"/>
      <ns0:c r="I166" s="23"/>
      <ns0:c r="J166" s="23"/>
      <ns0:c r="M166" s="24"/>
      <ns0:c r="R166" s="21"/>
    </ns0:row>
    <ns0:row r="167" ht="15.75" customHeight="1">
      <ns0:c r="D167" s="21"/>
      <ns0:c r="E167" s="21"/>
      <ns0:c r="G167" s="21"/>
      <ns0:c r="H167" s="22"/>
      <ns0:c r="I167" s="23"/>
      <ns0:c r="J167" s="23"/>
      <ns0:c r="M167" s="24"/>
      <ns0:c r="R167" s="21"/>
    </ns0:row>
    <ns0:row r="168" ht="15.75" customHeight="1">
      <ns0:c r="D168" s="21"/>
      <ns0:c r="E168" s="21"/>
      <ns0:c r="G168" s="21"/>
      <ns0:c r="H168" s="22"/>
      <ns0:c r="I168" s="23"/>
      <ns0:c r="J168" s="23"/>
      <ns0:c r="M168" s="24"/>
      <ns0:c r="R168" s="21"/>
    </ns0:row>
    <ns0:row r="169" ht="15.75" customHeight="1">
      <ns0:c r="D169" s="21"/>
      <ns0:c r="E169" s="21"/>
      <ns0:c r="G169" s="21"/>
      <ns0:c r="H169" s="22"/>
      <ns0:c r="I169" s="23"/>
      <ns0:c r="J169" s="23"/>
      <ns0:c r="M169" s="24"/>
      <ns0:c r="R169" s="21"/>
    </ns0:row>
    <ns0:row r="170" ht="15.75" customHeight="1">
      <ns0:c r="D170" s="21"/>
      <ns0:c r="E170" s="21"/>
      <ns0:c r="G170" s="21"/>
      <ns0:c r="H170" s="22"/>
      <ns0:c r="I170" s="23"/>
      <ns0:c r="J170" s="23"/>
      <ns0:c r="M170" s="24"/>
      <ns0:c r="R170" s="21"/>
    </ns0:row>
    <ns0:row r="171" ht="15.75" customHeight="1">
      <ns0:c r="D171" s="21"/>
      <ns0:c r="E171" s="21"/>
      <ns0:c r="G171" s="21"/>
      <ns0:c r="H171" s="22"/>
      <ns0:c r="I171" s="23"/>
      <ns0:c r="J171" s="23"/>
      <ns0:c r="M171" s="24"/>
      <ns0:c r="R171" s="21"/>
    </ns0:row>
    <ns0:row r="172" ht="15.75" customHeight="1">
      <ns0:c r="D172" s="21"/>
      <ns0:c r="E172" s="21"/>
      <ns0:c r="G172" s="21"/>
      <ns0:c r="H172" s="22"/>
      <ns0:c r="I172" s="23"/>
      <ns0:c r="J172" s="23"/>
      <ns0:c r="M172" s="24"/>
      <ns0:c r="R172" s="21"/>
    </ns0:row>
    <ns0:row r="173" ht="15.75" customHeight="1">
      <ns0:c r="D173" s="21"/>
      <ns0:c r="E173" s="21"/>
      <ns0:c r="G173" s="21"/>
      <ns0:c r="H173" s="22"/>
      <ns0:c r="I173" s="23"/>
      <ns0:c r="J173" s="23"/>
      <ns0:c r="M173" s="24"/>
      <ns0:c r="R173" s="21"/>
    </ns0:row>
    <ns0:row r="174" ht="15.75" customHeight="1">
      <ns0:c r="D174" s="21"/>
      <ns0:c r="E174" s="21"/>
      <ns0:c r="G174" s="21"/>
      <ns0:c r="H174" s="22"/>
      <ns0:c r="I174" s="23"/>
      <ns0:c r="J174" s="23"/>
      <ns0:c r="M174" s="24"/>
      <ns0:c r="R174" s="21"/>
    </ns0:row>
    <ns0:row r="175" ht="15.75" customHeight="1">
      <ns0:c r="D175" s="21"/>
      <ns0:c r="E175" s="21"/>
      <ns0:c r="G175" s="21"/>
      <ns0:c r="H175" s="22"/>
      <ns0:c r="I175" s="23"/>
      <ns0:c r="J175" s="23"/>
      <ns0:c r="M175" s="24"/>
      <ns0:c r="R175" s="21"/>
    </ns0:row>
    <ns0:row r="176" ht="15.75" customHeight="1">
      <ns0:c r="D176" s="21"/>
      <ns0:c r="E176" s="21"/>
      <ns0:c r="G176" s="21"/>
      <ns0:c r="H176" s="22"/>
      <ns0:c r="I176" s="23"/>
      <ns0:c r="J176" s="23"/>
      <ns0:c r="M176" s="24"/>
      <ns0:c r="R176" s="21"/>
    </ns0:row>
    <ns0:row r="177" ht="15.75" customHeight="1">
      <ns0:c r="D177" s="21"/>
      <ns0:c r="E177" s="21"/>
      <ns0:c r="G177" s="21"/>
      <ns0:c r="H177" s="22"/>
      <ns0:c r="I177" s="23"/>
      <ns0:c r="J177" s="23"/>
      <ns0:c r="M177" s="24"/>
      <ns0:c r="R177" s="21"/>
    </ns0:row>
    <ns0:row r="178" ht="15.75" customHeight="1">
      <ns0:c r="D178" s="21"/>
      <ns0:c r="E178" s="21"/>
      <ns0:c r="G178" s="21"/>
      <ns0:c r="H178" s="22"/>
      <ns0:c r="I178" s="23"/>
      <ns0:c r="J178" s="23"/>
      <ns0:c r="M178" s="24"/>
      <ns0:c r="R178" s="21"/>
    </ns0:row>
    <ns0:row r="179" ht="15.75" customHeight="1">
      <ns0:c r="D179" s="21"/>
      <ns0:c r="E179" s="21"/>
      <ns0:c r="G179" s="21"/>
      <ns0:c r="H179" s="22"/>
      <ns0:c r="I179" s="23"/>
      <ns0:c r="J179" s="23"/>
      <ns0:c r="M179" s="24"/>
      <ns0:c r="R179" s="21"/>
    </ns0:row>
    <ns0:row r="180" ht="15.75" customHeight="1">
      <ns0:c r="D180" s="21"/>
      <ns0:c r="E180" s="21"/>
      <ns0:c r="G180" s="21"/>
      <ns0:c r="H180" s="22"/>
      <ns0:c r="I180" s="23"/>
      <ns0:c r="J180" s="23"/>
      <ns0:c r="M180" s="24"/>
      <ns0:c r="R180" s="21"/>
    </ns0:row>
    <ns0:row r="181" ht="15.75" customHeight="1">
      <ns0:c r="D181" s="21"/>
      <ns0:c r="E181" s="21"/>
      <ns0:c r="G181" s="21"/>
      <ns0:c r="H181" s="22"/>
      <ns0:c r="I181" s="23"/>
      <ns0:c r="J181" s="23"/>
      <ns0:c r="M181" s="24"/>
      <ns0:c r="R181" s="21"/>
    </ns0:row>
    <ns0:row r="182" ht="15.75" customHeight="1">
      <ns0:c r="D182" s="21"/>
      <ns0:c r="E182" s="21"/>
      <ns0:c r="G182" s="21"/>
      <ns0:c r="H182" s="22"/>
      <ns0:c r="I182" s="23"/>
      <ns0:c r="J182" s="23"/>
      <ns0:c r="M182" s="24"/>
      <ns0:c r="R182" s="21"/>
    </ns0:row>
    <ns0:row r="183" ht="15.75" customHeight="1">
      <ns0:c r="D183" s="21"/>
      <ns0:c r="E183" s="21"/>
      <ns0:c r="G183" s="21"/>
      <ns0:c r="H183" s="22"/>
      <ns0:c r="I183" s="23"/>
      <ns0:c r="J183" s="23"/>
      <ns0:c r="M183" s="24"/>
      <ns0:c r="R183" s="21"/>
    </ns0:row>
    <ns0:row r="184" ht="15.75" customHeight="1">
      <ns0:c r="D184" s="21"/>
      <ns0:c r="E184" s="21"/>
      <ns0:c r="G184" s="21"/>
      <ns0:c r="H184" s="22"/>
      <ns0:c r="I184" s="23"/>
      <ns0:c r="J184" s="23"/>
      <ns0:c r="M184" s="24"/>
      <ns0:c r="R184" s="21"/>
    </ns0:row>
    <ns0:row r="185" ht="15.75" customHeight="1">
      <ns0:c r="D185" s="21"/>
      <ns0:c r="E185" s="21"/>
      <ns0:c r="G185" s="21"/>
      <ns0:c r="H185" s="22"/>
      <ns0:c r="I185" s="23"/>
      <ns0:c r="J185" s="23"/>
      <ns0:c r="M185" s="24"/>
      <ns0:c r="R185" s="21"/>
    </ns0:row>
    <ns0:row r="186" ht="15.75" customHeight="1">
      <ns0:c r="D186" s="21"/>
      <ns0:c r="E186" s="21"/>
      <ns0:c r="G186" s="21"/>
      <ns0:c r="H186" s="22"/>
      <ns0:c r="I186" s="23"/>
      <ns0:c r="J186" s="23"/>
      <ns0:c r="M186" s="24"/>
      <ns0:c r="R186" s="21"/>
    </ns0:row>
    <ns0:row r="187" ht="15.75" customHeight="1">
      <ns0:c r="D187" s="21"/>
      <ns0:c r="E187" s="21"/>
      <ns0:c r="G187" s="21"/>
      <ns0:c r="H187" s="22"/>
      <ns0:c r="I187" s="23"/>
      <ns0:c r="J187" s="23"/>
      <ns0:c r="M187" s="24"/>
      <ns0:c r="R187" s="21"/>
    </ns0:row>
    <ns0:row r="188" ht="15.75" customHeight="1">
      <ns0:c r="D188" s="21"/>
      <ns0:c r="E188" s="21"/>
      <ns0:c r="G188" s="21"/>
      <ns0:c r="H188" s="22"/>
      <ns0:c r="I188" s="23"/>
      <ns0:c r="J188" s="23"/>
      <ns0:c r="M188" s="24"/>
      <ns0:c r="R188" s="21"/>
    </ns0:row>
    <ns0:row r="189" ht="15.75" customHeight="1">
      <ns0:c r="D189" s="21"/>
      <ns0:c r="E189" s="21"/>
      <ns0:c r="G189" s="21"/>
      <ns0:c r="H189" s="22"/>
      <ns0:c r="I189" s="23"/>
      <ns0:c r="J189" s="23"/>
      <ns0:c r="M189" s="24"/>
      <ns0:c r="R189" s="21"/>
    </ns0:row>
    <ns0:row r="190" ht="15.75" customHeight="1">
      <ns0:c r="D190" s="21"/>
      <ns0:c r="E190" s="21"/>
      <ns0:c r="G190" s="21"/>
      <ns0:c r="H190" s="22"/>
      <ns0:c r="I190" s="23"/>
      <ns0:c r="J190" s="23"/>
      <ns0:c r="M190" s="24"/>
      <ns0:c r="R190" s="21"/>
    </ns0:row>
    <ns0:row r="191" ht="15.75" customHeight="1">
      <ns0:c r="D191" s="21"/>
      <ns0:c r="E191" s="21"/>
      <ns0:c r="G191" s="21"/>
      <ns0:c r="H191" s="22"/>
      <ns0:c r="I191" s="23"/>
      <ns0:c r="J191" s="23"/>
      <ns0:c r="M191" s="24"/>
      <ns0:c r="R191" s="21"/>
    </ns0:row>
    <ns0:row r="192" ht="15.75" customHeight="1">
      <ns0:c r="D192" s="21"/>
      <ns0:c r="E192" s="21"/>
      <ns0:c r="G192" s="21"/>
      <ns0:c r="H192" s="22"/>
      <ns0:c r="I192" s="23"/>
      <ns0:c r="J192" s="23"/>
      <ns0:c r="M192" s="24"/>
      <ns0:c r="R192" s="21"/>
    </ns0:row>
    <ns0:row r="193" ht="15.75" customHeight="1">
      <ns0:c r="D193" s="21"/>
      <ns0:c r="E193" s="21"/>
      <ns0:c r="G193" s="21"/>
      <ns0:c r="H193" s="22"/>
      <ns0:c r="I193" s="23"/>
      <ns0:c r="J193" s="23"/>
      <ns0:c r="M193" s="24"/>
      <ns0:c r="R193" s="21"/>
    </ns0:row>
    <ns0:row r="194" ht="15.75" customHeight="1">
      <ns0:c r="D194" s="21"/>
      <ns0:c r="E194" s="21"/>
      <ns0:c r="G194" s="21"/>
      <ns0:c r="H194" s="22"/>
      <ns0:c r="I194" s="23"/>
      <ns0:c r="J194" s="23"/>
      <ns0:c r="M194" s="24"/>
      <ns0:c r="R194" s="21"/>
    </ns0:row>
    <ns0:row r="195" ht="15.75" customHeight="1">
      <ns0:c r="D195" s="21"/>
      <ns0:c r="E195" s="21"/>
      <ns0:c r="G195" s="21"/>
      <ns0:c r="H195" s="22"/>
      <ns0:c r="I195" s="23"/>
      <ns0:c r="J195" s="23"/>
      <ns0:c r="M195" s="24"/>
      <ns0:c r="R195" s="21"/>
    </ns0:row>
    <ns0:row r="196" ht="15.75" customHeight="1">
      <ns0:c r="D196" s="21"/>
      <ns0:c r="E196" s="21"/>
      <ns0:c r="G196" s="21"/>
      <ns0:c r="H196" s="22"/>
      <ns0:c r="I196" s="23"/>
      <ns0:c r="J196" s="23"/>
      <ns0:c r="M196" s="24"/>
      <ns0:c r="R196" s="21"/>
    </ns0:row>
    <ns0:row r="197" ht="15.75" customHeight="1">
      <ns0:c r="D197" s="21"/>
      <ns0:c r="E197" s="21"/>
      <ns0:c r="G197" s="21"/>
      <ns0:c r="H197" s="22"/>
      <ns0:c r="I197" s="23"/>
      <ns0:c r="J197" s="23"/>
      <ns0:c r="M197" s="24"/>
      <ns0:c r="R197" s="21"/>
    </ns0:row>
    <ns0:row r="198" ht="15.75" customHeight="1">
      <ns0:c r="D198" s="21"/>
      <ns0:c r="E198" s="21"/>
      <ns0:c r="G198" s="21"/>
      <ns0:c r="H198" s="22"/>
      <ns0:c r="I198" s="23"/>
      <ns0:c r="J198" s="23"/>
      <ns0:c r="M198" s="24"/>
      <ns0:c r="R198" s="21"/>
    </ns0:row>
    <ns0:row r="199" ht="15.75" customHeight="1">
      <ns0:c r="D199" s="21"/>
      <ns0:c r="E199" s="21"/>
      <ns0:c r="G199" s="21"/>
      <ns0:c r="H199" s="22"/>
      <ns0:c r="I199" s="23"/>
      <ns0:c r="J199" s="23"/>
      <ns0:c r="M199" s="24"/>
      <ns0:c r="R199" s="21"/>
    </ns0:row>
    <ns0:row r="200" ht="15.75" customHeight="1">
      <ns0:c r="D200" s="21"/>
      <ns0:c r="E200" s="21"/>
      <ns0:c r="G200" s="21"/>
      <ns0:c r="H200" s="22"/>
      <ns0:c r="I200" s="23"/>
      <ns0:c r="J200" s="23"/>
      <ns0:c r="M200" s="24"/>
      <ns0:c r="R200" s="21"/>
    </ns0:row>
    <ns0:row r="201" ht="15.75" customHeight="1">
      <ns0:c r="D201" s="21"/>
      <ns0:c r="E201" s="21"/>
      <ns0:c r="G201" s="21"/>
      <ns0:c r="H201" s="22"/>
      <ns0:c r="I201" s="23"/>
      <ns0:c r="J201" s="23"/>
      <ns0:c r="M201" s="24"/>
      <ns0:c r="R201" s="21"/>
    </ns0:row>
    <ns0:row r="202" ht="15.75" customHeight="1">
      <ns0:c r="D202" s="21"/>
      <ns0:c r="E202" s="21"/>
      <ns0:c r="G202" s="21"/>
      <ns0:c r="H202" s="22"/>
      <ns0:c r="I202" s="23"/>
      <ns0:c r="J202" s="23"/>
      <ns0:c r="M202" s="24"/>
      <ns0:c r="R202" s="21"/>
    </ns0:row>
    <ns0:row r="203" ht="15.75" customHeight="1">
      <ns0:c r="D203" s="21"/>
      <ns0:c r="E203" s="21"/>
      <ns0:c r="G203" s="21"/>
      <ns0:c r="H203" s="22"/>
      <ns0:c r="I203" s="23"/>
      <ns0:c r="J203" s="23"/>
      <ns0:c r="M203" s="24"/>
      <ns0:c r="R203" s="21"/>
    </ns0:row>
    <ns0:row r="204" ht="15.75" customHeight="1">
      <ns0:c r="D204" s="21"/>
      <ns0:c r="E204" s="21"/>
      <ns0:c r="G204" s="21"/>
      <ns0:c r="H204" s="22"/>
      <ns0:c r="I204" s="23"/>
      <ns0:c r="J204" s="23"/>
      <ns0:c r="M204" s="24"/>
      <ns0:c r="R204" s="21"/>
    </ns0:row>
    <ns0:row r="205" ht="15.75" customHeight="1"/>
    <ns0:row r="206" ht="15.75" customHeight="1"/>
    <ns0:row r="207" ht="15.75" customHeight="1"/>
    <ns0:row r="208" ht="15.75" customHeight="1"/>
    <ns0:row r="209" ht="15.75" customHeight="1"/>
    <ns0:row r="210" ht="15.75" customHeight="1"/>
    <ns0:row r="211" ht="15.75" customHeight="1"/>
    <ns0:row r="212" ht="15.75" customHeight="1"/>
    <ns0:row r="213" ht="15.75" customHeight="1"/>
    <ns0:row r="214" ht="15.75" customHeight="1"/>
    <ns0:row r="215" ht="15.75" customHeight="1"/>
    <ns0:row r="216" ht="15.75" customHeight="1"/>
    <ns0:row r="217" ht="15.75" customHeight="1"/>
    <ns0:row r="218" ht="15.75" customHeight="1"/>
    <ns0:row r="219" ht="15.75" customHeight="1"/>
    <ns0:row r="220" ht="15.75" customHeight="1"/>
    <ns0:row r="221" ht="15.75" customHeight="1"/>
    <ns0:row r="222" ht="15.75" customHeight="1"/>
    <ns0:row r="223" ht="15.75" customHeight="1"/>
    <ns0:row r="224" ht="15.75" customHeight="1"/>
    <ns0:row r="225" ht="15.75" customHeight="1"/>
    <ns0:row r="226" ht="15.75" customHeight="1"/>
    <ns0:row r="227" ht="15.75" customHeight="1"/>
    <ns0:row r="228" ht="15.75" customHeight="1"/>
    <ns0:row r="229" ht="15.75" customHeight="1"/>
    <ns0:row r="230" ht="15.75" customHeight="1"/>
    <ns0:row r="231" ht="15.75" customHeight="1"/>
    <ns0:row r="232" ht="15.75" customHeight="1"/>
    <ns0:row r="233" ht="15.75" customHeight="1"/>
    <ns0:row r="234" ht="15.75" customHeight="1"/>
    <ns0:row r="235" ht="15.75" customHeight="1"/>
    <ns0:row r="236" ht="15.75" customHeight="1"/>
    <ns0:row r="237" ht="15.75" customHeight="1"/>
    <ns0:row r="238" ht="15.75" customHeight="1"/>
    <ns0:row r="239" ht="15.75" customHeight="1"/>
    <ns0:row r="240" ht="15.75" customHeight="1"/>
    <ns0:row r="241" ht="15.75" customHeight="1"/>
    <ns0:row r="242" ht="15.75" customHeight="1"/>
    <ns0:row r="243" ht="15.75" customHeight="1"/>
    <ns0:row r="244" ht="15.75" customHeight="1"/>
    <ns0:row r="245" ht="15.75" customHeight="1"/>
    <ns0:row r="246" ht="15.75" customHeight="1"/>
    <ns0:row r="247" ht="15.75" customHeight="1"/>
    <ns0:row r="248" ht="15.75" customHeight="1"/>
    <ns0:row r="249" ht="15.75" customHeight="1"/>
    <ns0:row r="250" ht="15.75" customHeight="1"/>
    <ns0:row r="251" ht="15.75" customHeight="1"/>
    <ns0:row r="252" ht="15.75" customHeight="1"/>
    <ns0:row r="253" ht="15.75" customHeight="1"/>
    <ns0:row r="254" ht="15.75" customHeight="1"/>
    <ns0:row r="255" ht="15.75" customHeight="1"/>
    <ns0:row r="256" ht="15.75" customHeight="1"/>
    <ns0:row r="257" ht="15.75" customHeight="1"/>
    <ns0:row r="258" ht="15.75" customHeight="1"/>
    <ns0:row r="259" ht="15.75" customHeight="1"/>
    <ns0:row r="260" ht="15.75" customHeight="1"/>
    <ns0:row r="261" ht="15.75" customHeight="1"/>
    <ns0:row r="262" ht="15.75" customHeight="1"/>
    <ns0:row r="263" ht="15.75" customHeight="1"/>
    <ns0:row r="264" ht="15.75" customHeight="1"/>
    <ns0:row r="265" ht="15.75" customHeight="1"/>
    <ns0:row r="266" ht="15.75" customHeight="1"/>
    <ns0:row r="267" ht="15.75" customHeight="1"/>
    <ns0:row r="268" ht="15.75" customHeight="1"/>
    <ns0:row r="269" ht="15.75" customHeight="1"/>
    <ns0:row r="270" ht="15.75" customHeight="1"/>
    <ns0:row r="271" ht="15.75" customHeight="1"/>
    <ns0:row r="272" ht="15.75" customHeight="1"/>
    <ns0:row r="273" ht="15.75" customHeight="1"/>
    <ns0:row r="274" ht="15.75" customHeight="1"/>
    <ns0:row r="275" ht="15.75" customHeight="1"/>
    <ns0:row r="276" ht="15.75" customHeight="1"/>
    <ns0:row r="277" ht="15.75" customHeight="1"/>
    <ns0:row r="278" ht="15.75" customHeight="1"/>
    <ns0:row r="279" ht="15.75" customHeight="1"/>
    <ns0:row r="280" ht="15.75" customHeight="1"/>
    <ns0:row r="281" ht="15.75" customHeight="1"/>
    <ns0:row r="282" ht="15.75" customHeight="1"/>
    <ns0:row r="283" ht="15.75" customHeight="1"/>
    <ns0:row r="284" ht="15.75" customHeight="1"/>
    <ns0:row r="285" ht="15.75" customHeight="1"/>
    <ns0:row r="286" ht="15.75" customHeight="1"/>
    <ns0:row r="287" ht="15.75" customHeight="1"/>
    <ns0:row r="288" ht="15.75" customHeight="1"/>
    <ns0:row r="289" ht="15.75" customHeight="1"/>
    <ns0:row r="290" ht="15.75" customHeight="1"/>
    <ns0:row r="291" ht="15.75" customHeight="1"/>
    <ns0:row r="292" ht="15.75" customHeight="1"/>
    <ns0:row r="293" ht="15.75" customHeight="1"/>
    <ns0:row r="294" ht="15.75" customHeight="1"/>
    <ns0:row r="295" ht="15.75" customHeight="1"/>
    <ns0:row r="296" ht="15.75" customHeight="1"/>
    <ns0:row r="297" ht="15.75" customHeight="1"/>
    <ns0:row r="298" ht="15.75" customHeight="1"/>
    <ns0:row r="299" ht="15.75" customHeight="1"/>
    <ns0:row r="300" ht="15.75" customHeight="1"/>
    <ns0:row r="301" ht="15.75" customHeight="1"/>
    <ns0:row r="302" ht="15.75" customHeight="1"/>
    <ns0:row r="303" ht="15.75" customHeight="1"/>
    <ns0:row r="304" ht="15.75" customHeight="1"/>
    <ns0:row r="305" ht="15.75" customHeight="1"/>
    <ns0:row r="306" ht="15.75" customHeight="1"/>
    <ns0:row r="307" ht="15.75" customHeight="1"/>
    <ns0:row r="308" ht="15.75" customHeight="1"/>
    <ns0:row r="309" ht="15.75" customHeight="1"/>
    <ns0:row r="310" ht="15.75" customHeight="1"/>
    <ns0:row r="311" ht="15.75" customHeight="1"/>
    <ns0:row r="312" ht="15.75" customHeight="1"/>
    <ns0:row r="313" ht="15.75" customHeight="1"/>
    <ns0:row r="314" ht="15.75" customHeight="1"/>
    <ns0:row r="315" ht="15.75" customHeight="1"/>
    <ns0:row r="316" ht="15.75" customHeight="1"/>
    <ns0:row r="317" ht="15.75" customHeight="1"/>
    <ns0:row r="318" ht="15.75" customHeight="1"/>
    <ns0:row r="319" ht="15.75" customHeight="1"/>
    <ns0:row r="320" ht="15.75" customHeight="1"/>
    <ns0:row r="321" ht="15.75" customHeight="1"/>
    <ns0:row r="322" ht="15.75" customHeight="1"/>
    <ns0:row r="323" ht="15.75" customHeight="1"/>
    <ns0:row r="324" ht="15.75" customHeight="1"/>
    <ns0:row r="325" ht="15.75" customHeight="1"/>
    <ns0:row r="326" ht="15.75" customHeight="1"/>
    <ns0:row r="327" ht="15.75" customHeight="1"/>
    <ns0:row r="328" ht="15.75" customHeight="1"/>
    <ns0:row r="329" ht="15.75" customHeight="1"/>
    <ns0:row r="330" ht="15.75" customHeight="1"/>
    <ns0:row r="331" ht="15.75" customHeight="1"/>
    <ns0:row r="332" ht="15.75" customHeight="1"/>
    <ns0:row r="333" ht="15.75" customHeight="1"/>
    <ns0:row r="334" ht="15.75" customHeight="1"/>
    <ns0:row r="335" ht="15.75" customHeight="1"/>
    <ns0:row r="336" ht="15.75" customHeight="1"/>
    <ns0:row r="337" ht="15.75" customHeight="1"/>
    <ns0:row r="338" ht="15.75" customHeight="1"/>
    <ns0:row r="339" ht="15.75" customHeight="1"/>
    <ns0:row r="340" ht="15.75" customHeight="1"/>
    <ns0:row r="341" ht="15.75" customHeight="1"/>
    <ns0:row r="342" ht="15.75" customHeight="1"/>
    <ns0:row r="343" ht="15.75" customHeight="1"/>
    <ns0:row r="344" ht="15.75" customHeight="1"/>
    <ns0:row r="345" ht="15.75" customHeight="1"/>
    <ns0:row r="346" ht="15.75" customHeight="1"/>
    <ns0:row r="347" ht="15.75" customHeight="1"/>
    <ns0:row r="348" ht="15.75" customHeight="1"/>
    <ns0:row r="349" ht="15.75" customHeight="1"/>
    <ns0:row r="350" ht="15.75" customHeight="1"/>
    <ns0:row r="351" ht="15.75" customHeight="1"/>
    <ns0:row r="352" ht="15.75" customHeight="1"/>
    <ns0:row r="353" ht="15.75" customHeight="1"/>
    <ns0:row r="354" ht="15.75" customHeight="1"/>
    <ns0:row r="355" ht="15.75" customHeight="1"/>
    <ns0:row r="356" ht="15.75" customHeight="1"/>
    <ns0:row r="357" ht="15.75" customHeight="1"/>
    <ns0:row r="358" ht="15.75" customHeight="1"/>
    <ns0:row r="359" ht="15.75" customHeight="1"/>
    <ns0:row r="360" ht="15.75" customHeight="1"/>
    <ns0:row r="361" ht="15.75" customHeight="1"/>
    <ns0:row r="362" ht="15.75" customHeight="1"/>
    <ns0:row r="363" ht="15.75" customHeight="1"/>
    <ns0:row r="364" ht="15.75" customHeight="1"/>
    <ns0:row r="365" ht="15.75" customHeight="1"/>
    <ns0:row r="366" ht="15.75" customHeight="1"/>
    <ns0:row r="367" ht="15.75" customHeight="1"/>
    <ns0:row r="368" ht="15.75" customHeight="1"/>
    <ns0:row r="369" ht="15.75" customHeight="1"/>
    <ns0:row r="370" ht="15.75" customHeight="1"/>
    <ns0:row r="371" ht="15.75" customHeight="1"/>
    <ns0:row r="372" ht="15.75" customHeight="1"/>
    <ns0:row r="373" ht="15.75" customHeight="1"/>
    <ns0:row r="374" ht="15.75" customHeight="1"/>
    <ns0:row r="375" ht="15.75" customHeight="1"/>
    <ns0:row r="376" ht="15.75" customHeight="1"/>
    <ns0:row r="377" ht="15.75" customHeight="1"/>
    <ns0:row r="378" ht="15.75" customHeight="1"/>
    <ns0:row r="379" ht="15.75" customHeight="1"/>
    <ns0:row r="380" ht="15.75" customHeight="1"/>
    <ns0:row r="381" ht="15.75" customHeight="1"/>
    <ns0:row r="382" ht="15.75" customHeight="1"/>
    <ns0:row r="383" ht="15.75" customHeight="1"/>
    <ns0:row r="384" ht="15.75" customHeight="1"/>
    <ns0:row r="385" ht="15.75" customHeight="1"/>
    <ns0:row r="386" ht="15.75" customHeight="1"/>
    <ns0:row r="387" ht="15.75" customHeight="1"/>
    <ns0:row r="388" ht="15.75" customHeight="1"/>
    <ns0:row r="389" ht="15.75" customHeight="1"/>
    <ns0:row r="390" ht="15.75" customHeight="1"/>
    <ns0:row r="391" ht="15.75" customHeight="1"/>
    <ns0:row r="392" ht="15.75" customHeight="1"/>
    <ns0:row r="393" ht="15.75" customHeight="1"/>
    <ns0:row r="394" ht="15.75" customHeight="1"/>
    <ns0:row r="395" ht="15.75" customHeight="1"/>
    <ns0:row r="396" ht="15.75" customHeight="1"/>
    <ns0:row r="397" ht="15.75" customHeight="1"/>
    <ns0:row r="398" ht="15.75" customHeight="1"/>
    <ns0:row r="399" ht="15.75" customHeight="1"/>
    <ns0:row r="400" ht="15.75" customHeight="1"/>
    <ns0:row r="401" ht="15.75" customHeight="1"/>
    <ns0:row r="402" ht="15.75" customHeight="1"/>
    <ns0:row r="403" ht="15.75" customHeight="1"/>
    <ns0:row r="404" ht="15.75" customHeight="1"/>
    <ns0:row r="405" ht="15.75" customHeight="1"/>
    <ns0:row r="406" ht="15.75" customHeight="1"/>
    <ns0:row r="407" ht="15.75" customHeight="1"/>
    <ns0:row r="408" ht="15.75" customHeight="1"/>
    <ns0:row r="409" ht="15.75" customHeight="1"/>
    <ns0:row r="410" ht="15.75" customHeight="1"/>
    <ns0:row r="411" ht="15.75" customHeight="1"/>
    <ns0:row r="412" ht="15.75" customHeight="1"/>
    <ns0:row r="413" ht="15.75" customHeight="1"/>
    <ns0:row r="414" ht="15.75" customHeight="1"/>
    <ns0:row r="415" ht="15.75" customHeight="1"/>
    <ns0:row r="416" ht="15.75" customHeight="1"/>
    <ns0:row r="417" ht="15.75" customHeight="1"/>
    <ns0:row r="418" ht="15.75" customHeight="1"/>
    <ns0:row r="419" ht="15.75" customHeight="1"/>
    <ns0:row r="420" ht="15.75" customHeight="1"/>
    <ns0:row r="421" ht="15.75" customHeight="1"/>
    <ns0:row r="422" ht="15.75" customHeight="1"/>
    <ns0:row r="423" ht="15.75" customHeight="1"/>
    <ns0:row r="424" ht="15.75" customHeight="1"/>
    <ns0:row r="425" ht="15.75" customHeight="1"/>
    <ns0:row r="426" ht="15.75" customHeight="1"/>
    <ns0:row r="427" ht="15.75" customHeight="1"/>
    <ns0:row r="428" ht="15.75" customHeight="1"/>
    <ns0:row r="429" ht="15.75" customHeight="1"/>
    <ns0:row r="430" ht="15.75" customHeight="1"/>
    <ns0:row r="431" ht="15.75" customHeight="1"/>
    <ns0:row r="432" ht="15.75" customHeight="1"/>
    <ns0:row r="433" ht="15.75" customHeight="1"/>
    <ns0:row r="434" ht="15.75" customHeight="1"/>
    <ns0:row r="435" ht="15.75" customHeight="1"/>
    <ns0:row r="436" ht="15.75" customHeight="1"/>
    <ns0:row r="437" ht="15.75" customHeight="1"/>
    <ns0:row r="438" ht="15.75" customHeight="1"/>
    <ns0:row r="439" ht="15.75" customHeight="1"/>
    <ns0:row r="440" ht="15.75" customHeight="1"/>
    <ns0:row r="441" ht="15.75" customHeight="1"/>
    <ns0:row r="442" ht="15.75" customHeight="1"/>
    <ns0:row r="443" ht="15.75" customHeight="1"/>
    <ns0:row r="444" ht="15.75" customHeight="1"/>
    <ns0:row r="445" ht="15.75" customHeight="1"/>
    <ns0:row r="446" ht="15.75" customHeight="1"/>
    <ns0:row r="447" ht="15.75" customHeight="1"/>
    <ns0:row r="448" ht="15.75" customHeight="1"/>
    <ns0:row r="449" ht="15.75" customHeight="1"/>
    <ns0:row r="450" ht="15.75" customHeight="1"/>
    <ns0:row r="451" ht="15.75" customHeight="1"/>
    <ns0:row r="452" ht="15.75" customHeight="1"/>
    <ns0:row r="453" ht="15.75" customHeight="1"/>
    <ns0:row r="454" ht="15.75" customHeight="1"/>
    <ns0:row r="455" ht="15.75" customHeight="1"/>
    <ns0:row r="456" ht="15.75" customHeight="1"/>
    <ns0:row r="457" ht="15.75" customHeight="1"/>
    <ns0:row r="458" ht="15.75" customHeight="1"/>
    <ns0:row r="459" ht="15.75" customHeight="1"/>
    <ns0:row r="460" ht="15.75" customHeight="1"/>
    <ns0:row r="461" ht="15.75" customHeight="1"/>
    <ns0:row r="462" ht="15.75" customHeight="1"/>
    <ns0:row r="463" ht="15.75" customHeight="1"/>
    <ns0:row r="464" ht="15.75" customHeight="1"/>
    <ns0:row r="465" ht="15.75" customHeight="1"/>
    <ns0:row r="466" ht="15.75" customHeight="1"/>
    <ns0:row r="467" ht="15.75" customHeight="1"/>
    <ns0:row r="468" ht="15.75" customHeight="1"/>
    <ns0:row r="469" ht="15.75" customHeight="1"/>
    <ns0:row r="470" ht="15.75" customHeight="1"/>
    <ns0:row r="471" ht="15.75" customHeight="1"/>
    <ns0:row r="472" ht="15.75" customHeight="1"/>
    <ns0:row r="473" ht="15.75" customHeight="1"/>
    <ns0:row r="474" ht="15.75" customHeight="1"/>
    <ns0:row r="475" ht="15.75" customHeight="1"/>
    <ns0:row r="476" ht="15.75" customHeight="1"/>
    <ns0:row r="477" ht="15.75" customHeight="1"/>
    <ns0:row r="478" ht="15.75" customHeight="1"/>
    <ns0:row r="479" ht="15.75" customHeight="1"/>
    <ns0:row r="480" ht="15.75" customHeight="1"/>
    <ns0:row r="481" ht="15.75" customHeight="1"/>
    <ns0:row r="482" ht="15.75" customHeight="1"/>
    <ns0:row r="483" ht="15.75" customHeight="1"/>
    <ns0:row r="484" ht="15.75" customHeight="1"/>
    <ns0:row r="485" ht="15.75" customHeight="1"/>
    <ns0:row r="486" ht="15.75" customHeight="1"/>
    <ns0:row r="487" ht="15.75" customHeight="1"/>
    <ns0:row r="488" ht="15.75" customHeight="1"/>
    <ns0:row r="489" ht="15.75" customHeight="1"/>
    <ns0:row r="490" ht="15.75" customHeight="1"/>
    <ns0:row r="491" ht="15.75" customHeight="1"/>
    <ns0:row r="492" ht="15.75" customHeight="1"/>
    <ns0:row r="493" ht="15.75" customHeight="1"/>
    <ns0:row r="494" ht="15.75" customHeight="1"/>
    <ns0:row r="495" ht="15.75" customHeight="1"/>
    <ns0:row r="496" ht="15.75" customHeight="1"/>
    <ns0:row r="497" ht="15.75" customHeight="1"/>
    <ns0:row r="498" ht="15.75" customHeight="1"/>
    <ns0:row r="499" ht="15.75" customHeight="1"/>
    <ns0:row r="500" ht="15.75" customHeight="1"/>
    <ns0:row r="501" ht="15.75" customHeight="1"/>
    <ns0:row r="502" ht="15.75" customHeight="1"/>
    <ns0:row r="503" ht="15.75" customHeight="1"/>
    <ns0:row r="504" ht="15.75" customHeight="1"/>
    <ns0:row r="505" ht="15.75" customHeight="1"/>
    <ns0:row r="506" ht="15.75" customHeight="1"/>
    <ns0:row r="507" ht="15.75" customHeight="1"/>
    <ns0:row r="508" ht="15.75" customHeight="1"/>
    <ns0:row r="509" ht="15.75" customHeight="1"/>
    <ns0:row r="510" ht="15.75" customHeight="1"/>
    <ns0:row r="511" ht="15.75" customHeight="1"/>
    <ns0:row r="512" ht="15.75" customHeight="1"/>
    <ns0:row r="513" ht="15.75" customHeight="1"/>
    <ns0:row r="514" ht="15.75" customHeight="1"/>
    <ns0:row r="515" ht="15.75" customHeight="1"/>
    <ns0:row r="516" ht="15.75" customHeight="1"/>
    <ns0:row r="517" ht="15.75" customHeight="1"/>
    <ns0:row r="518" ht="15.75" customHeight="1"/>
    <ns0:row r="519" ht="15.75" customHeight="1"/>
    <ns0:row r="520" ht="15.75" customHeight="1"/>
    <ns0:row r="521" ht="15.75" customHeight="1"/>
    <ns0:row r="522" ht="15.75" customHeight="1"/>
    <ns0:row r="523" ht="15.75" customHeight="1"/>
    <ns0:row r="524" ht="15.75" customHeight="1"/>
    <ns0:row r="525" ht="15.75" customHeight="1"/>
    <ns0:row r="526" ht="15.75" customHeight="1"/>
    <ns0:row r="527" ht="15.75" customHeight="1"/>
    <ns0:row r="528" ht="15.75" customHeight="1"/>
    <ns0:row r="529" ht="15.75" customHeight="1"/>
    <ns0:row r="530" ht="15.75" customHeight="1"/>
    <ns0:row r="531" ht="15.75" customHeight="1"/>
    <ns0:row r="532" ht="15.75" customHeight="1"/>
    <ns0:row r="533" ht="15.75" customHeight="1"/>
    <ns0:row r="534" ht="15.75" customHeight="1"/>
    <ns0:row r="535" ht="15.75" customHeight="1"/>
    <ns0:row r="536" ht="15.75" customHeight="1"/>
    <ns0:row r="537" ht="15.75" customHeight="1"/>
    <ns0:row r="538" ht="15.75" customHeight="1"/>
    <ns0:row r="539" ht="15.75" customHeight="1"/>
    <ns0:row r="540" ht="15.75" customHeight="1"/>
    <ns0:row r="541" ht="15.75" customHeight="1"/>
    <ns0:row r="542" ht="15.75" customHeight="1"/>
    <ns0:row r="543" ht="15.75" customHeight="1"/>
    <ns0:row r="544" ht="15.75" customHeight="1"/>
    <ns0:row r="545" ht="15.75" customHeight="1"/>
    <ns0:row r="546" ht="15.75" customHeight="1"/>
    <ns0:row r="547" ht="15.75" customHeight="1"/>
    <ns0:row r="548" ht="15.75" customHeight="1"/>
    <ns0:row r="549" ht="15.75" customHeight="1"/>
    <ns0:row r="550" ht="15.75" customHeight="1"/>
    <ns0:row r="551" ht="15.75" customHeight="1"/>
    <ns0:row r="552" ht="15.75" customHeight="1"/>
    <ns0:row r="553" ht="15.75" customHeight="1"/>
    <ns0:row r="554" ht="15.75" customHeight="1"/>
    <ns0:row r="555" ht="15.75" customHeight="1"/>
    <ns0:row r="556" ht="15.75" customHeight="1"/>
    <ns0:row r="557" ht="15.75" customHeight="1"/>
    <ns0:row r="558" ht="15.75" customHeight="1"/>
    <ns0:row r="559" ht="15.75" customHeight="1"/>
    <ns0:row r="560" ht="15.75" customHeight="1"/>
    <ns0:row r="561" ht="15.75" customHeight="1"/>
    <ns0:row r="562" ht="15.75" customHeight="1"/>
    <ns0:row r="563" ht="15.75" customHeight="1"/>
    <ns0:row r="564" ht="15.75" customHeight="1"/>
    <ns0:row r="565" ht="15.75" customHeight="1"/>
    <ns0:row r="566" ht="15.75" customHeight="1"/>
    <ns0:row r="567" ht="15.75" customHeight="1"/>
    <ns0:row r="568" ht="15.75" customHeight="1"/>
    <ns0:row r="569" ht="15.75" customHeight="1"/>
    <ns0:row r="570" ht="15.75" customHeight="1"/>
    <ns0:row r="571" ht="15.75" customHeight="1"/>
    <ns0:row r="572" ht="15.75" customHeight="1"/>
    <ns0:row r="573" ht="15.75" customHeight="1"/>
    <ns0:row r="574" ht="15.75" customHeight="1"/>
    <ns0:row r="575" ht="15.75" customHeight="1"/>
    <ns0:row r="576" ht="15.75" customHeight="1"/>
    <ns0:row r="577" ht="15.75" customHeight="1"/>
    <ns0:row r="578" ht="15.75" customHeight="1"/>
    <ns0:row r="579" ht="15.75" customHeight="1"/>
    <ns0:row r="580" ht="15.75" customHeight="1"/>
    <ns0:row r="581" ht="15.75" customHeight="1"/>
    <ns0:row r="582" ht="15.75" customHeight="1"/>
    <ns0:row r="583" ht="15.75" customHeight="1"/>
    <ns0:row r="584" ht="15.75" customHeight="1"/>
    <ns0:row r="585" ht="15.75" customHeight="1"/>
    <ns0:row r="586" ht="15.75" customHeight="1"/>
    <ns0:row r="587" ht="15.75" customHeight="1"/>
    <ns0:row r="588" ht="15.75" customHeight="1"/>
    <ns0:row r="589" ht="15.75" customHeight="1"/>
    <ns0:row r="590" ht="15.75" customHeight="1"/>
    <ns0:row r="591" ht="15.75" customHeight="1"/>
    <ns0:row r="592" ht="15.75" customHeight="1"/>
    <ns0:row r="593" ht="15.75" customHeight="1"/>
    <ns0:row r="594" ht="15.75" customHeight="1"/>
    <ns0:row r="595" ht="15.75" customHeight="1"/>
    <ns0:row r="596" ht="15.75" customHeight="1"/>
    <ns0:row r="597" ht="15.75" customHeight="1"/>
    <ns0:row r="598" ht="15.75" customHeight="1"/>
    <ns0:row r="599" ht="15.75" customHeight="1"/>
    <ns0:row r="600" ht="15.75" customHeight="1"/>
    <ns0:row r="601" ht="15.75" customHeight="1"/>
    <ns0:row r="602" ht="15.75" customHeight="1"/>
    <ns0:row r="603" ht="15.75" customHeight="1"/>
    <ns0:row r="604" ht="15.75" customHeight="1"/>
    <ns0:row r="605" ht="15.75" customHeight="1"/>
    <ns0:row r="606" ht="15.75" customHeight="1"/>
    <ns0:row r="607" ht="15.75" customHeight="1"/>
    <ns0:row r="608" ht="15.75" customHeight="1"/>
    <ns0:row r="609" ht="15.75" customHeight="1"/>
    <ns0:row r="610" ht="15.75" customHeight="1"/>
    <ns0:row r="611" ht="15.75" customHeight="1"/>
    <ns0:row r="612" ht="15.75" customHeight="1"/>
    <ns0:row r="613" ht="15.75" customHeight="1"/>
    <ns0:row r="614" ht="15.75" customHeight="1"/>
    <ns0:row r="615" ht="15.75" customHeight="1"/>
    <ns0:row r="616" ht="15.75" customHeight="1"/>
    <ns0:row r="617" ht="15.75" customHeight="1"/>
    <ns0:row r="618" ht="15.75" customHeight="1"/>
    <ns0:row r="619" ht="15.75" customHeight="1"/>
    <ns0:row r="620" ht="15.75" customHeight="1"/>
    <ns0:row r="621" ht="15.75" customHeight="1"/>
    <ns0:row r="622" ht="15.75" customHeight="1"/>
    <ns0:row r="623" ht="15.75" customHeight="1"/>
    <ns0:row r="624" ht="15.75" customHeight="1"/>
    <ns0:row r="625" ht="15.75" customHeight="1"/>
    <ns0:row r="626" ht="15.75" customHeight="1"/>
    <ns0:row r="627" ht="15.75" customHeight="1"/>
    <ns0:row r="628" ht="15.75" customHeight="1"/>
    <ns0:row r="629" ht="15.75" customHeight="1"/>
    <ns0:row r="630" ht="15.75" customHeight="1"/>
    <ns0:row r="631" ht="15.75" customHeight="1"/>
    <ns0:row r="632" ht="15.75" customHeight="1"/>
    <ns0:row r="633" ht="15.75" customHeight="1"/>
    <ns0:row r="634" ht="15.75" customHeight="1"/>
    <ns0:row r="635" ht="15.75" customHeight="1"/>
    <ns0:row r="636" ht="15.75" customHeight="1"/>
    <ns0:row r="637" ht="15.75" customHeight="1"/>
    <ns0:row r="638" ht="15.75" customHeight="1"/>
    <ns0:row r="639" ht="15.75" customHeight="1"/>
    <ns0:row r="640" ht="15.75" customHeight="1"/>
    <ns0:row r="641" ht="15.75" customHeight="1"/>
    <ns0:row r="642" ht="15.75" customHeight="1"/>
    <ns0:row r="643" ht="15.75" customHeight="1"/>
    <ns0:row r="644" ht="15.75" customHeight="1"/>
    <ns0:row r="645" ht="15.75" customHeight="1"/>
    <ns0:row r="646" ht="15.75" customHeight="1"/>
    <ns0:row r="647" ht="15.75" customHeight="1"/>
    <ns0:row r="648" ht="15.75" customHeight="1"/>
    <ns0:row r="649" ht="15.75" customHeight="1"/>
    <ns0:row r="650" ht="15.75" customHeight="1"/>
    <ns0:row r="651" ht="15.75" customHeight="1"/>
    <ns0:row r="652" ht="15.75" customHeight="1"/>
    <ns0:row r="653" ht="15.75" customHeight="1"/>
    <ns0:row r="654" ht="15.75" customHeight="1"/>
    <ns0:row r="655" ht="15.75" customHeight="1"/>
    <ns0:row r="656" ht="15.75" customHeight="1"/>
    <ns0:row r="657" ht="15.75" customHeight="1"/>
    <ns0:row r="658" ht="15.75" customHeight="1"/>
    <ns0:row r="659" ht="15.75" customHeight="1"/>
    <ns0:row r="660" ht="15.75" customHeight="1"/>
    <ns0:row r="661" ht="15.75" customHeight="1"/>
    <ns0:row r="662" ht="15.75" customHeight="1"/>
    <ns0:row r="663" ht="15.75" customHeight="1"/>
    <ns0:row r="664" ht="15.75" customHeight="1"/>
    <ns0:row r="665" ht="15.75" customHeight="1"/>
    <ns0:row r="666" ht="15.75" customHeight="1"/>
    <ns0:row r="667" ht="15.75" customHeight="1"/>
    <ns0:row r="668" ht="15.75" customHeight="1"/>
    <ns0:row r="669" ht="15.75" customHeight="1"/>
    <ns0:row r="670" ht="15.75" customHeight="1"/>
    <ns0:row r="671" ht="15.75" customHeight="1"/>
    <ns0:row r="672" ht="15.75" customHeight="1"/>
    <ns0:row r="673" ht="15.75" customHeight="1"/>
    <ns0:row r="674" ht="15.75" customHeight="1"/>
    <ns0:row r="675" ht="15.75" customHeight="1"/>
    <ns0:row r="676" ht="15.75" customHeight="1"/>
    <ns0:row r="677" ht="15.75" customHeight="1"/>
    <ns0:row r="678" ht="15.75" customHeight="1"/>
    <ns0:row r="679" ht="15.75" customHeight="1"/>
    <ns0:row r="680" ht="15.75" customHeight="1"/>
    <ns0:row r="681" ht="15.75" customHeight="1"/>
    <ns0:row r="682" ht="15.75" customHeight="1"/>
    <ns0:row r="683" ht="15.75" customHeight="1"/>
    <ns0:row r="684" ht="15.75" customHeight="1"/>
    <ns0:row r="685" ht="15.75" customHeight="1"/>
    <ns0:row r="686" ht="15.75" customHeight="1"/>
    <ns0:row r="687" ht="15.75" customHeight="1"/>
    <ns0:row r="688" ht="15.75" customHeight="1"/>
    <ns0:row r="689" ht="15.75" customHeight="1"/>
    <ns0:row r="690" ht="15.75" customHeight="1"/>
    <ns0:row r="691" ht="15.75" customHeight="1"/>
    <ns0:row r="692" ht="15.75" customHeight="1"/>
    <ns0:row r="693" ht="15.75" customHeight="1"/>
    <ns0:row r="694" ht="15.75" customHeight="1"/>
    <ns0:row r="695" ht="15.75" customHeight="1"/>
    <ns0:row r="696" ht="15.75" customHeight="1"/>
    <ns0:row r="697" ht="15.75" customHeight="1"/>
    <ns0:row r="698" ht="15.75" customHeight="1"/>
    <ns0:row r="699" ht="15.75" customHeight="1"/>
    <ns0:row r="700" ht="15.75" customHeight="1"/>
    <ns0:row r="701" ht="15.75" customHeight="1"/>
    <ns0:row r="702" ht="15.75" customHeight="1"/>
    <ns0:row r="703" ht="15.75" customHeight="1"/>
    <ns0:row r="704" ht="15.75" customHeight="1"/>
    <ns0:row r="705" ht="15.75" customHeight="1"/>
    <ns0:row r="706" ht="15.75" customHeight="1"/>
    <ns0:row r="707" ht="15.75" customHeight="1"/>
    <ns0:row r="708" ht="15.75" customHeight="1"/>
    <ns0:row r="709" ht="15.75" customHeight="1"/>
    <ns0:row r="710" ht="15.75" customHeight="1"/>
    <ns0:row r="711" ht="15.75" customHeight="1"/>
    <ns0:row r="712" ht="15.75" customHeight="1"/>
    <ns0:row r="713" ht="15.75" customHeight="1"/>
    <ns0:row r="714" ht="15.75" customHeight="1"/>
    <ns0:row r="715" ht="15.75" customHeight="1"/>
    <ns0:row r="716" ht="15.75" customHeight="1"/>
    <ns0:row r="717" ht="15.75" customHeight="1"/>
    <ns0:row r="718" ht="15.75" customHeight="1"/>
    <ns0:row r="719" ht="15.75" customHeight="1"/>
    <ns0:row r="720" ht="15.75" customHeight="1"/>
    <ns0:row r="721" ht="15.75" customHeight="1"/>
    <ns0:row r="722" ht="15.75" customHeight="1"/>
    <ns0:row r="723" ht="15.75" customHeight="1"/>
    <ns0:row r="724" ht="15.75" customHeight="1"/>
    <ns0:row r="725" ht="15.75" customHeight="1"/>
    <ns0:row r="726" ht="15.75" customHeight="1"/>
    <ns0:row r="727" ht="15.75" customHeight="1"/>
    <ns0:row r="728" ht="15.75" customHeight="1"/>
    <ns0:row r="729" ht="15.75" customHeight="1"/>
    <ns0:row r="730" ht="15.75" customHeight="1"/>
    <ns0:row r="731" ht="15.75" customHeight="1"/>
    <ns0:row r="732" ht="15.75" customHeight="1"/>
    <ns0:row r="733" ht="15.75" customHeight="1"/>
    <ns0:row r="734" ht="15.75" customHeight="1"/>
    <ns0:row r="735" ht="15.75" customHeight="1"/>
    <ns0:row r="736" ht="15.75" customHeight="1"/>
    <ns0:row r="737" ht="15.75" customHeight="1"/>
    <ns0:row r="738" ht="15.75" customHeight="1"/>
    <ns0:row r="739" ht="15.75" customHeight="1"/>
    <ns0:row r="740" ht="15.75" customHeight="1"/>
    <ns0:row r="741" ht="15.75" customHeight="1"/>
    <ns0:row r="742" ht="15.75" customHeight="1"/>
    <ns0:row r="743" ht="15.75" customHeight="1"/>
    <ns0:row r="744" ht="15.75" customHeight="1"/>
    <ns0:row r="745" ht="15.75" customHeight="1"/>
    <ns0:row r="746" ht="15.75" customHeight="1"/>
    <ns0:row r="747" ht="15.75" customHeight="1"/>
    <ns0:row r="748" ht="15.75" customHeight="1"/>
    <ns0:row r="749" ht="15.75" customHeight="1"/>
    <ns0:row r="750" ht="15.75" customHeight="1"/>
    <ns0:row r="751" ht="15.75" customHeight="1"/>
    <ns0:row r="752" ht="15.75" customHeight="1"/>
    <ns0:row r="753" ht="15.75" customHeight="1"/>
    <ns0:row r="754" ht="15.75" customHeight="1"/>
    <ns0:row r="755" ht="15.75" customHeight="1"/>
    <ns0:row r="756" ht="15.75" customHeight="1"/>
    <ns0:row r="757" ht="15.75" customHeight="1"/>
    <ns0:row r="758" ht="15.75" customHeight="1"/>
    <ns0:row r="759" ht="15.75" customHeight="1"/>
    <ns0:row r="760" ht="15.75" customHeight="1"/>
    <ns0:row r="761" ht="15.75" customHeight="1"/>
    <ns0:row r="762" ht="15.75" customHeight="1"/>
    <ns0:row r="763" ht="15.75" customHeight="1"/>
    <ns0:row r="764" ht="15.75" customHeight="1"/>
    <ns0:row r="765" ht="15.75" customHeight="1"/>
    <ns0:row r="766" ht="15.75" customHeight="1"/>
    <ns0:row r="767" ht="15.75" customHeight="1"/>
    <ns0:row r="768" ht="15.75" customHeight="1"/>
    <ns0:row r="769" ht="15.75" customHeight="1"/>
    <ns0:row r="770" ht="15.75" customHeight="1"/>
    <ns0:row r="771" ht="15.75" customHeight="1"/>
    <ns0:row r="772" ht="15.75" customHeight="1"/>
    <ns0:row r="773" ht="15.75" customHeight="1"/>
    <ns0:row r="774" ht="15.75" customHeight="1"/>
    <ns0:row r="775" ht="15.75" customHeight="1"/>
    <ns0:row r="776" ht="15.75" customHeight="1"/>
    <ns0:row r="777" ht="15.75" customHeight="1"/>
    <ns0:row r="778" ht="15.75" customHeight="1"/>
    <ns0:row r="779" ht="15.75" customHeight="1"/>
    <ns0:row r="780" ht="15.75" customHeight="1"/>
    <ns0:row r="781" ht="15.75" customHeight="1"/>
    <ns0:row r="782" ht="15.75" customHeight="1"/>
    <ns0:row r="783" ht="15.75" customHeight="1"/>
    <ns0:row r="784" ht="15.75" customHeight="1"/>
    <ns0:row r="785" ht="15.75" customHeight="1"/>
    <ns0:row r="786" ht="15.75" customHeight="1"/>
    <ns0:row r="787" ht="15.75" customHeight="1"/>
    <ns0:row r="788" ht="15.75" customHeight="1"/>
    <ns0:row r="789" ht="15.75" customHeight="1"/>
    <ns0:row r="790" ht="15.75" customHeight="1"/>
    <ns0:row r="791" ht="15.75" customHeight="1"/>
    <ns0:row r="792" ht="15.75" customHeight="1"/>
    <ns0:row r="793" ht="15.75" customHeight="1"/>
    <ns0:row r="794" ht="15.75" customHeight="1"/>
    <ns0:row r="795" ht="15.75" customHeight="1"/>
    <ns0:row r="796" ht="15.75" customHeight="1"/>
    <ns0:row r="797" ht="15.75" customHeight="1"/>
    <ns0:row r="798" ht="15.75" customHeight="1"/>
    <ns0:row r="799" ht="15.75" customHeight="1"/>
    <ns0:row r="800" ht="15.75" customHeight="1"/>
    <ns0:row r="801" ht="15.75" customHeight="1"/>
    <ns0:row r="802" ht="15.75" customHeight="1"/>
    <ns0:row r="803" ht="15.75" customHeight="1"/>
    <ns0:row r="804" ht="15.75" customHeight="1"/>
    <ns0:row r="805" ht="15.75" customHeight="1"/>
    <ns0:row r="806" ht="15.75" customHeight="1"/>
    <ns0:row r="807" ht="15.75" customHeight="1"/>
    <ns0:row r="808" ht="15.75" customHeight="1"/>
    <ns0:row r="809" ht="15.75" customHeight="1"/>
    <ns0:row r="810" ht="15.75" customHeight="1"/>
    <ns0:row r="811" ht="15.75" customHeight="1"/>
    <ns0:row r="812" ht="15.75" customHeight="1"/>
    <ns0:row r="813" ht="15.75" customHeight="1"/>
    <ns0:row r="814" ht="15.75" customHeight="1"/>
    <ns0:row r="815" ht="15.75" customHeight="1"/>
    <ns0:row r="816" ht="15.75" customHeight="1"/>
    <ns0:row r="817" ht="15.75" customHeight="1"/>
    <ns0:row r="818" ht="15.75" customHeight="1"/>
    <ns0:row r="819" ht="15.75" customHeight="1"/>
    <ns0:row r="820" ht="15.75" customHeight="1"/>
    <ns0:row r="821" ht="15.75" customHeight="1"/>
    <ns0:row r="822" ht="15.75" customHeight="1"/>
    <ns0:row r="823" ht="15.75" customHeight="1"/>
    <ns0:row r="824" ht="15.75" customHeight="1"/>
    <ns0:row r="825" ht="15.75" customHeight="1"/>
    <ns0:row r="826" ht="15.75" customHeight="1"/>
    <ns0:row r="827" ht="15.75" customHeight="1"/>
    <ns0:row r="828" ht="15.75" customHeight="1"/>
    <ns0:row r="829" ht="15.75" customHeight="1"/>
    <ns0:row r="830" ht="15.75" customHeight="1"/>
    <ns0:row r="831" ht="15.75" customHeight="1"/>
    <ns0:row r="832" ht="15.75" customHeight="1"/>
    <ns0:row r="833" ht="15.75" customHeight="1"/>
    <ns0:row r="834" ht="15.75" customHeight="1"/>
    <ns0:row r="835" ht="15.75" customHeight="1"/>
    <ns0:row r="836" ht="15.75" customHeight="1"/>
    <ns0:row r="837" ht="15.75" customHeight="1"/>
    <ns0:row r="838" ht="15.75" customHeight="1"/>
    <ns0:row r="839" ht="15.75" customHeight="1"/>
    <ns0:row r="840" ht="15.75" customHeight="1"/>
    <ns0:row r="841" ht="15.75" customHeight="1"/>
    <ns0:row r="842" ht="15.75" customHeight="1"/>
    <ns0:row r="843" ht="15.75" customHeight="1"/>
    <ns0:row r="844" ht="15.75" customHeight="1"/>
    <ns0:row r="845" ht="15.75" customHeight="1"/>
    <ns0:row r="846" ht="15.75" customHeight="1"/>
    <ns0:row r="847" ht="15.75" customHeight="1"/>
    <ns0:row r="848" ht="15.75" customHeight="1"/>
    <ns0:row r="849" ht="15.75" customHeight="1"/>
    <ns0:row r="850" ht="15.75" customHeight="1"/>
    <ns0:row r="851" ht="15.75" customHeight="1"/>
    <ns0:row r="852" ht="15.75" customHeight="1"/>
    <ns0:row r="853" ht="15.75" customHeight="1"/>
    <ns0:row r="854" ht="15.75" customHeight="1"/>
    <ns0:row r="855" ht="15.75" customHeight="1"/>
    <ns0:row r="856" ht="15.75" customHeight="1"/>
    <ns0:row r="857" ht="15.75" customHeight="1"/>
    <ns0:row r="858" ht="15.75" customHeight="1"/>
    <ns0:row r="859" ht="15.75" customHeight="1"/>
    <ns0:row r="860" ht="15.75" customHeight="1"/>
    <ns0:row r="861" ht="15.75" customHeight="1"/>
    <ns0:row r="862" ht="15.75" customHeight="1"/>
    <ns0:row r="863" ht="15.75" customHeight="1"/>
    <ns0:row r="864" ht="15.75" customHeight="1"/>
    <ns0:row r="865" ht="15.75" customHeight="1"/>
    <ns0:row r="866" ht="15.75" customHeight="1"/>
    <ns0:row r="867" ht="15.75" customHeight="1"/>
    <ns0:row r="868" ht="15.75" customHeight="1"/>
    <ns0:row r="869" ht="15.75" customHeight="1"/>
    <ns0:row r="870" ht="15.75" customHeight="1"/>
    <ns0:row r="871" ht="15.75" customHeight="1"/>
    <ns0:row r="872" ht="15.75" customHeight="1"/>
    <ns0:row r="873" ht="15.75" customHeight="1"/>
    <ns0:row r="874" ht="15.75" customHeight="1"/>
    <ns0:row r="875" ht="15.75" customHeight="1"/>
    <ns0:row r="876" ht="15.75" customHeight="1"/>
    <ns0:row r="877" ht="15.75" customHeight="1"/>
    <ns0:row r="878" ht="15.75" customHeight="1"/>
    <ns0:row r="879" ht="15.75" customHeight="1"/>
    <ns0:row r="880" ht="15.75" customHeight="1"/>
    <ns0:row r="881" ht="15.75" customHeight="1"/>
    <ns0:row r="882" ht="15.75" customHeight="1"/>
    <ns0:row r="883" ht="15.75" customHeight="1"/>
    <ns0:row r="884" ht="15.75" customHeight="1"/>
    <ns0:row r="885" ht="15.75" customHeight="1"/>
    <ns0:row r="886" ht="15.75" customHeight="1"/>
    <ns0:row r="887" ht="15.75" customHeight="1"/>
    <ns0:row r="888" ht="15.75" customHeight="1"/>
    <ns0:row r="889" ht="15.75" customHeight="1"/>
    <ns0:row r="890" ht="15.75" customHeight="1"/>
    <ns0:row r="891" ht="15.75" customHeight="1"/>
    <ns0:row r="892" ht="15.75" customHeight="1"/>
    <ns0:row r="893" ht="15.75" customHeight="1"/>
    <ns0:row r="894" ht="15.75" customHeight="1"/>
    <ns0:row r="895" ht="15.75" customHeight="1"/>
    <ns0:row r="896" ht="15.75" customHeight="1"/>
    <ns0:row r="897" ht="15.75" customHeight="1"/>
    <ns0:row r="898" ht="15.75" customHeight="1"/>
    <ns0:row r="899" ht="15.75" customHeight="1"/>
    <ns0:row r="900" ht="15.75" customHeight="1"/>
    <ns0:row r="901" ht="15.75" customHeight="1"/>
    <ns0:row r="902" ht="15.75" customHeight="1"/>
    <ns0:row r="903" ht="15.75" customHeight="1"/>
    <ns0:row r="904" ht="15.75" customHeight="1"/>
    <ns0:row r="905" ht="15.75" customHeight="1"/>
    <ns0:row r="906" ht="15.75" customHeight="1"/>
    <ns0:row r="907" ht="15.75" customHeight="1"/>
    <ns0:row r="908" ht="15.75" customHeight="1"/>
    <ns0:row r="909" ht="15.75" customHeight="1"/>
    <ns0:row r="910" ht="15.75" customHeight="1"/>
    <ns0:row r="911" ht="15.75" customHeight="1"/>
    <ns0:row r="912" ht="15.75" customHeight="1"/>
    <ns0:row r="913" ht="15.75" customHeight="1"/>
    <ns0:row r="914" ht="15.75" customHeight="1"/>
    <ns0:row r="915" ht="15.75" customHeight="1"/>
    <ns0:row r="916" ht="15.75" customHeight="1"/>
    <ns0:row r="917" ht="15.75" customHeight="1"/>
    <ns0:row r="918" ht="15.75" customHeight="1"/>
    <ns0:row r="919" ht="15.75" customHeight="1"/>
    <ns0:row r="920" ht="15.75" customHeight="1"/>
    <ns0:row r="921" ht="15.75" customHeight="1"/>
    <ns0:row r="922" ht="15.75" customHeight="1"/>
    <ns0:row r="923" ht="15.75" customHeight="1"/>
    <ns0:row r="924" ht="15.75" customHeight="1"/>
    <ns0:row r="925" ht="15.75" customHeight="1"/>
    <ns0:row r="926" ht="15.75" customHeight="1"/>
    <ns0:row r="927" ht="15.75" customHeight="1"/>
    <ns0:row r="928" ht="15.75" customHeight="1"/>
    <ns0:row r="929" ht="15.75" customHeight="1"/>
    <ns0:row r="930" ht="15.75" customHeight="1"/>
    <ns0:row r="931" ht="15.75" customHeight="1"/>
    <ns0:row r="932" ht="15.75" customHeight="1"/>
    <ns0:row r="933" ht="15.75" customHeight="1"/>
    <ns0:row r="934" ht="15.75" customHeight="1"/>
    <ns0:row r="935" ht="15.75" customHeight="1"/>
    <ns0:row r="936" ht="15.75" customHeight="1"/>
    <ns0:row r="937" ht="15.75" customHeight="1"/>
    <ns0:row r="938" ht="15.75" customHeight="1"/>
    <ns0:row r="939" ht="15.75" customHeight="1"/>
    <ns0:row r="940" ht="15.75" customHeight="1"/>
    <ns0:row r="941" ht="15.75" customHeight="1"/>
    <ns0:row r="942" ht="15.75" customHeight="1"/>
    <ns0:row r="943" ht="15.75" customHeight="1"/>
    <ns0:row r="944" ht="15.75" customHeight="1"/>
    <ns0:row r="945" ht="15.75" customHeight="1"/>
    <ns0:row r="946" ht="15.75" customHeight="1"/>
    <ns0:row r="947" ht="15.75" customHeight="1"/>
    <ns0:row r="948" ht="15.75" customHeight="1"/>
    <ns0:row r="949" ht="15.75" customHeight="1"/>
    <ns0:row r="950" ht="15.75" customHeight="1"/>
    <ns0:row r="951" ht="15.75" customHeight="1"/>
    <ns0:row r="952" ht="15.75" customHeight="1"/>
    <ns0:row r="953" ht="15.75" customHeight="1"/>
    <ns0:row r="954" ht="15.75" customHeight="1"/>
    <ns0:row r="955" ht="15.75" customHeight="1"/>
    <ns0:row r="956" ht="15.75" customHeight="1"/>
    <ns0:row r="957" ht="15.75" customHeight="1"/>
    <ns0:row r="958" ht="15.75" customHeight="1"/>
    <ns0:row r="959" ht="15.75" customHeight="1"/>
    <ns0:row r="960" ht="15.75" customHeight="1"/>
    <ns0:row r="961" ht="15.75" customHeight="1"/>
    <ns0:row r="962" ht="15.75" customHeight="1"/>
    <ns0:row r="963" ht="15.75" customHeight="1"/>
    <ns0:row r="964" ht="15.75" customHeight="1"/>
    <ns0:row r="965" ht="15.75" customHeight="1"/>
    <ns0:row r="966" ht="15.75" customHeight="1"/>
    <ns0:row r="967" ht="15.75" customHeight="1"/>
    <ns0:row r="968" ht="15.75" customHeight="1"/>
    <ns0:row r="969" ht="15.75" customHeight="1"/>
    <ns0:row r="970" ht="15.75" customHeight="1"/>
    <ns0:row r="971" ht="15.75" customHeight="1"/>
    <ns0:row r="972" ht="15.75" customHeight="1"/>
    <ns0:row r="973" ht="15.75" customHeight="1"/>
    <ns0:row r="974" ht="15.75" customHeight="1"/>
    <ns0:row r="975" ht="15.75" customHeight="1"/>
    <ns0:row r="976" ht="15.75" customHeight="1"/>
    <ns0:row r="977" ht="15.75" customHeight="1"/>
    <ns0:row r="978" ht="15.75" customHeight="1"/>
    <ns0:row r="979" ht="15.75" customHeight="1"/>
    <ns0:row r="980" ht="15.75" customHeight="1"/>
    <ns0:row r="981" ht="15.75" customHeight="1"/>
    <ns0:row r="982" ht="15.75" customHeight="1"/>
    <ns0:row r="983" ht="15.75" customHeight="1"/>
    <ns0:row r="984" ht="15.75" customHeight="1"/>
    <ns0:row r="985" ht="15.75" customHeight="1"/>
    <ns0:row r="986" ht="15.75" customHeight="1"/>
    <ns0:row r="987" ht="15.75" customHeight="1"/>
    <ns0:row r="988" ht="15.75" customHeight="1"/>
    <ns0:row r="989" ht="15.75" customHeight="1"/>
    <ns0:row r="990" ht="15.75" customHeight="1"/>
    <ns0:row r="991" ht="15.75" customHeight="1"/>
    <ns0:row r="992" ht="15.75" customHeight="1"/>
    <ns0:row r="993" ht="15.75" customHeight="1"/>
    <ns0:row r="994" ht="15.75" customHeight="1"/>
    <ns0:row r="995" ht="15.75" customHeight="1"/>
    <ns0:row r="996" ht="15.75" customHeight="1"/>
    <ns0:row r="997" ht="15.75" customHeight="1"/>
    <ns0:row r="998" ht="15.75" customHeight="1"/>
    <ns0:row r="999" ht="15.75" customHeight="1"/>
    <ns0:row r="1000" ht="15.75" customHeight="1"/>
  </ns0:sheetData>
  <ns0:conditionalFormatting sqref="C5:C204">
    <ns0:cfRule type="containsText" dxfId="5" priority="1" operator="containsText" text="SFX">
      <ns0:formula>NOT(ISERROR(SEARCH(("SFX"),(C5))))</ns0:formula>
    </ns0:cfRule>
  </ns0:conditionalFormatting>
  <ns0:conditionalFormatting sqref="C5:C204">
    <ns0:cfRule type="containsText" dxfId="6" priority="2" operator="containsText" text="UI">
      <ns0:formula>NOT(ISERROR(SEARCH(("UI"),(C5))))</ns0:formula>
    </ns0:cfRule>
  </ns0:conditionalFormatting>
  <ns0:conditionalFormatting sqref="C5:C204">
    <ns0:cfRule type="containsText" dxfId="7" priority="3" operator="containsText" text="Ambience">
      <ns0:formula>NOT(ISERROR(SEARCH(("Ambience"),(C5))))</ns0:formula>
    </ns0:cfRule>
  </ns0:conditionalFormatting>
  <ns0:conditionalFormatting sqref="C5:C204">
    <ns0:cfRule type="containsText" dxfId="8" priority="4" operator="containsText" text="Music">
      <ns0:formula>NOT(ISERROR(SEARCH(("Music"),(C5))))</ns0:formula>
    </ns0:cfRule>
  </ns0:conditionalFormatting>
  <ns0:conditionalFormatting sqref="C5:C204">
    <ns0:cfRule type="containsText" dxfId="9" priority="5" operator="containsText" text="Dialogue">
      <ns0:formula>NOT(ISERROR(SEARCH(("Dialogue"),(C5))))</ns0:formula>
    </ns0:cfRule>
  </ns0:conditionalFormatting>
  <ns0:conditionalFormatting sqref="R5:R204">
    <ns0:cfRule type="containsText" dxfId="4" priority="7" operator="containsText" text="Fail">
      <ns0:formula>NOT(ISERROR(SEARCH(("Fail"),(R5))))</ns0:formula>
    </ns0:cfRule>
  </ns0:conditionalFormatting>
  <ns0:conditionalFormatting sqref="H5:H204">
    <ns0:cfRule type="expression" dxfId="4" priority="8">
      <ns0:formula>AND(ISNUMBER(H5),H5&lt;TODAY(),$A5&lt;&gt;"",$E5&lt;&gt;"Done",$E5&lt;&gt;"Deferred")</ns0:formula>
    </ns0:cfRule>
  </ns0:conditionalFormatting>
  <ns0:conditionalFormatting sqref="E5:E204">
    <ns0:cfRule type="containsText" dxfId="11" priority="9" operator="containsText" text="Audit needed"/>
    <ns0:cfRule type="containsText" dxfId="12" priority="10" operator="containsText" text="Brief"/>
    <ns0:cfRule type="containsText" dxfId="13" priority="11" operator="containsText" text="Design"/>
    <ns0:cfRule type="containsText" dxfId="14" priority="12" operator="containsText" text="Review"/>
    <ns0:cfRule type="containsText" dxfId="15" priority="13" operator="containsText" text="Implement"/>
    <ns0:cfRule type="containsText" dxfId="16" priority="14" operator="containsText" text="QA"/>
    <ns0:cfRule type="containsText" dxfId="17" priority="15" operator="containsText" text="Done"/>
    <ns0:cfRule type="containsText" dxfId="18" priority="16" operator="containsText" text="Deferred"/>
  </ns0:conditionalFormatting>
  <ns0:conditionalFormatting sqref="D5:D204">
    <ns0:cfRule type="containsText" dxfId="19" priority="17" operator="containsText" text="P1"/>
    <ns0:cfRule type="containsText" dxfId="20" priority="18" operator="containsText" text="P2"/>
    <ns0:cfRule type="containsText" dxfId="21" priority="19" operator="containsText" text="P3"/>
  </ns0:conditionalFormatting>
  <ns0:dataValidations count="4">
    <ns0:dataValidation type="list" allowBlank="1" sqref="D5:D204">
      <ns0:formula1>"P1,P2,P3"</ns0:formula1>
    </ns0:dataValidation>
    <ns0:dataValidation type="list" allowBlank="1" sqref="R5:R204">
      <ns0:formula1>"Not tested,Pass,Fail"</ns0:formula1>
    </ns0:dataValidation>
    <ns0:dataValidation type="list" allowBlank="1" sqref="G5:G204">
      <ns0:formula1>"M1,M2,M3"</ns0:formula1>
    </ns0:dataValidation>
    <ns0:dataValidation type="list" allowBlank="1" sqref="E5:E204">
      <ns0:formula1>"Audit needed,Brief,Design,Review,Implement,QA,Done,Deferred"</ns0:formula1>
    </ns0:dataValidation>
  </ns0:dataValidations>
  <ns0:pageMargins left="0.7" right="0.7" top="0.75" bottom="0.75" header="0.3" footer="0.3"/>
  <ns0:tableParts count="1">
    <ns0:tablePart ns1:id="Rbd056453cc0a4446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FFA589B6"/>
  </ns0:sheetPr>
  <ns0:sheetViews>
    <ns0:sheetView showGridLines="0" workbookViewId="0">
      <ns0:pane xSplit="1" ySplit="4" topLeftCell="B5" activePane="bottomRight" state="frozen"/>
    </ns0:sheetView>
  </ns0:sheetViews>
  <ns0:sheetFormatPr defaultColWidth="12.630000114440918" defaultRowHeight="15"/>
  <ns0:cols>
    <ns0:col min="1" max="1" width="25" hidden="0" customWidth="1"/>
    <ns0:col min="2" max="2" width="31" customWidth="1" hidden="1"/>
    <ns0:col min="3" max="3" width="42" hidden="0" customWidth="1"/>
    <ns0:col min="4" max="4" width="44" customWidth="1" hidden="1"/>
    <ns0:col min="5" max="5" width="25" hidden="0" customWidth="1"/>
    <ns0:col min="6" max="6" width="27" customWidth="1" hidden="1"/>
    <ns0:col min="7" max="7" width="48" hidden="0" customWidth="1"/>
    <ns0:col min="8" max="8" width="45" customWidth="1" hidden="1"/>
    <ns0:col min="9" max="9" width="8.630000114440918" customWidth="1"/>
    <ns0:col min="10" max="10" width="8.630000114440918" customWidth="1"/>
    <ns0:col min="11" max="11" width="8.630000114440918" customWidth="1"/>
    <ns0:col min="12" max="12" width="8.630000114440918" customWidth="1"/>
    <ns0:col min="13" max="13" width="8.630000114440918" customWidth="1"/>
    <ns0:col min="14" max="14" width="8.630000114440918" customWidth="1"/>
    <ns0:col min="15" max="15" width="8.630000114440918" customWidth="1"/>
    <ns0:col min="16" max="16" width="8.630000114440918" customWidth="1"/>
    <ns0:col min="17" max="17" width="8.630000114440918" customWidth="1"/>
    <ns0:col min="18" max="18" width="8.630000114440918" customWidth="1"/>
    <ns0:col min="19" max="19" width="8.630000114440918" customWidth="1"/>
    <ns0:col min="20" max="20" width="8.630000114440918" customWidth="1"/>
    <ns0:col min="21" max="21" width="8.630000114440918" customWidth="1"/>
    <ns0:col min="22" max="22" width="8.630000114440918" customWidth="1"/>
    <ns0:col min="23" max="23" width="8.630000114440918" customWidth="1"/>
    <ns0:col min="24" max="24" width="8.630000114440918" customWidth="1"/>
    <ns0:col min="25" max="25" width="8.630000114440918" customWidth="1"/>
    <ns0:col min="26" max="26" width="8.630000114440918" customWidth="1"/>
  </ns0:cols>
  <ns0:sheetData>
    <ns0:row r="1" ht="40" customHeight="1">
      <ns0:c r="A1" s="108" t="str">
        <ns0:v>Effects reference</ns0:v>
      </ns0:c>
      <ns0:c r="B1" s="106"/>
      <ns0:c r="C1" s="106"/>
      <ns0:c r="D1" s="106"/>
      <ns0:c r="E1" s="106"/>
      <ns0:c r="F1" s="106"/>
      <ns0:c r="G1" s="106"/>
      <ns0:c r="H1" s="107"/>
    </ns0:row>
    <ns0:row r="2" ht="26" customHeight="1">
      <ns0:c r="A2" s="109" t="str">
        <ns0:v>Check whether an effect needs a new cue or can reuse a sound. Technical identifiers are hidden.</ns0:v>
      </ns0:c>
      <ns0:c r="B2" s="61"/>
      <ns0:c r="C2" s="61"/>
      <ns0:c r="D2" s="61"/>
      <ns0:c r="E2" s="61"/>
      <ns0:c r="F2" s="61"/>
      <ns0:c r="G2" s="61"/>
      <ns0:c r="H2" s="62"/>
    </ns0:row>
    <ns0:row r="3" ht="10" customHeight="1">
      <ns0:c r="A3" s="60"/>
      <ns0:c r="B3" s="61"/>
      <ns0:c r="C3" s="61"/>
      <ns0:c r="D3" s="61"/>
      <ns0:c r="E3" s="61"/>
      <ns0:c r="F3" s="61"/>
      <ns0:c r="G3" s="61"/>
      <ns0:c r="H3" s="62"/>
    </ns0:row>
    <ns0:row r="4" ht="34" customHeight="1">
      <ns0:c r="A4" s="102" t="s">
        <ns0:v>186</ns0:v>
      </ns0:c>
      <ns0:c r="B4" s="103" t="s">
        <ns0:v>187</ns0:v>
      </ns0:c>
      <ns0:c r="C4" s="103" t="s">
        <ns0:v>188</ns0:v>
      </ns0:c>
      <ns0:c r="D4" s="103" t="s">
        <ns0:v>189</ns0:v>
      </ns0:c>
      <ns0:c r="E4" s="103" t="s">
        <ns0:v>190</ns0:v>
      </ns0:c>
      <ns0:c r="F4" s="103" t="s">
        <ns0:v>191</ns0:v>
      </ns0:c>
      <ns0:c r="G4" s="103" t="s">
        <ns0:v>192</ns0:v>
      </ns0:c>
      <ns0:c r="H4" s="104" t="s">
        <ns0:v>19</ns0:v>
      </ns0:c>
    </ns0:row>
    <ns0:row r="5" ht="57" customHeight="1">
      <ns0:c r="A5" s="136" t="s">
        <ns0:v>193</ns0:v>
      </ns0:c>
      <ns0:c r="B5" s="91" t="str">
        <ns0:f t="shared" ref="B5:B51" si="1">SUBSTITUTE(LOWER(A5)," ","_")</ns0:f>
        <ns0:v>hp_up</ns0:v>
      </ns0:c>
      <ns0:c r="C5" s="91" t="s">
        <ns0:v>194</ns0:v>
      </ns0:c>
      <ns0:c r="D5" s="91" t="s">
        <ns0:v>195</ns0:v>
      </ns0:c>
      <ns0:c r="E5" s="139" t="s">
        <ns0:v>196</ns0:v>
      </ns0:c>
      <ns0:c r="F5" s="91" t="s">
        <ns0:v>157</ns0:v>
      </ns0:c>
      <ns0:c r="G5" s="91" t="s">
        <ns0:v>197</ns0:v>
      </ns0:c>
      <ns0:c r="H5" s="95" t="s">
        <ns0:v>164</ns0:v>
      </ns0:c>
    </ns0:row>
    <ns0:row r="6" ht="57" customHeight="1">
      <ns0:c r="A6" s="137" t="s">
        <ns0:v>198</ns0:v>
      </ns0:c>
      <ns0:c r="B6" s="79" t="str">
        <ns0:f t="shared" si="1"/>
        <ns0:v>damage_up</ns0:v>
      </ns0:c>
      <ns0:c r="C6" s="79" t="s">
        <ns0:v>199</ns0:v>
      </ns0:c>
      <ns0:c r="D6" s="79" t="s">
        <ns0:v>195</ns0:v>
      </ns0:c>
      <ns0:c r="E6" s="139" t="s">
        <ns0:v>196</ns0:v>
      </ns0:c>
      <ns0:c r="F6" s="79" t="s">
        <ns0:v>157</ns0:v>
      </ns0:c>
      <ns0:c r="G6" s="79" t="s">
        <ns0:v>197</ns0:v>
      </ns0:c>
      <ns0:c r="H6" s="83" t="s">
        <ns0:v>164</ns0:v>
      </ns0:c>
    </ns0:row>
    <ns0:row r="7" ht="57" customHeight="1">
      <ns0:c r="A7" s="136" t="s">
        <ns0:v>200</ns0:v>
      </ns0:c>
      <ns0:c r="B7" s="91" t="str">
        <ns0:f t="shared" si="1"/>
        <ns0:v>attack_speed_up</ns0:v>
      </ns0:c>
      <ns0:c r="C7" s="91" t="s">
        <ns0:v>201</ns0:v>
      </ns0:c>
      <ns0:c r="D7" s="91" t="s">
        <ns0:v>195</ns0:v>
      </ns0:c>
      <ns0:c r="E7" s="139" t="s">
        <ns0:v>196</ns0:v>
      </ns0:c>
      <ns0:c r="F7" s="91" t="s">
        <ns0:v>157</ns0:v>
      </ns0:c>
      <ns0:c r="G7" s="91" t="s">
        <ns0:v>197</ns0:v>
      </ns0:c>
      <ns0:c r="H7" s="95" t="s">
        <ns0:v>164</ns0:v>
      </ns0:c>
    </ns0:row>
    <ns0:row r="8" ht="57" customHeight="1">
      <ns0:c r="A8" s="137" t="s">
        <ns0:v>202</ns0:v>
      </ns0:c>
      <ns0:c r="B8" s="79" t="str">
        <ns0:f t="shared" si="1"/>
        <ns0:v>move_speed_up</ns0:v>
      </ns0:c>
      <ns0:c r="C8" s="79" t="s">
        <ns0:v>203</ns0:v>
      </ns0:c>
      <ns0:c r="D8" s="79" t="s">
        <ns0:v>195</ns0:v>
      </ns0:c>
      <ns0:c r="E8" s="139" t="s">
        <ns0:v>196</ns0:v>
      </ns0:c>
      <ns0:c r="F8" s="79" t="s">
        <ns0:v>157</ns0:v>
      </ns0:c>
      <ns0:c r="G8" s="79" t="s">
        <ns0:v>197</ns0:v>
      </ns0:c>
      <ns0:c r="H8" s="83" t="s">
        <ns0:v>164</ns0:v>
      </ns0:c>
    </ns0:row>
    <ns0:row r="9" ht="57" customHeight="1">
      <ns0:c r="A9" s="136" t="s">
        <ns0:v>204</ns0:v>
      </ns0:c>
      <ns0:c r="B9" s="91" t="str">
        <ns0:f t="shared" si="1"/>
        <ns0:v>parry_duration_up</ns0:v>
      </ns0:c>
      <ns0:c r="C9" s="91" t="s">
        <ns0:v>205</ns0:v>
      </ns0:c>
      <ns0:c r="D9" s="91" t="s">
        <ns0:v>195</ns0:v>
      </ns0:c>
      <ns0:c r="E9" s="139" t="s">
        <ns0:v>196</ns0:v>
      </ns0:c>
      <ns0:c r="F9" s="91" t="s">
        <ns0:v>157</ns0:v>
      </ns0:c>
      <ns0:c r="G9" s="91" t="s">
        <ns0:v>197</ns0:v>
      </ns0:c>
      <ns0:c r="H9" s="95" t="s">
        <ns0:v>164</ns0:v>
      </ns0:c>
    </ns0:row>
    <ns0:row r="10" ht="57" customHeight="1">
      <ns0:c r="A10" s="137" t="s">
        <ns0:v>206</ns0:v>
      </ns0:c>
      <ns0:c r="B10" s="79" t="str">
        <ns0:f t="shared" si="1"/>
        <ns0:v>parry_cooldown_down</ns0:v>
      </ns0:c>
      <ns0:c r="C10" s="79" t="s">
        <ns0:v>207</ns0:v>
      </ns0:c>
      <ns0:c r="D10" s="79" t="s">
        <ns0:v>195</ns0:v>
      </ns0:c>
      <ns0:c r="E10" s="139" t="s">
        <ns0:v>196</ns0:v>
      </ns0:c>
      <ns0:c r="F10" s="79" t="s">
        <ns0:v>157</ns0:v>
      </ns0:c>
      <ns0:c r="G10" s="79" t="s">
        <ns0:v>197</ns0:v>
      </ns0:c>
      <ns0:c r="H10" s="83" t="s">
        <ns0:v>164</ns0:v>
      </ns0:c>
    </ns0:row>
    <ns0:row r="11" ht="57" customHeight="1">
      <ns0:c r="A11" s="136" t="s">
        <ns0:v>208</ns0:v>
      </ns0:c>
      <ns0:c r="B11" s="91" t="str">
        <ns0:f t="shared" si="1"/>
        <ns0:v>dash_distance_up</ns0:v>
      </ns0:c>
      <ns0:c r="C11" s="91" t="s">
        <ns0:v>209</ns0:v>
      </ns0:c>
      <ns0:c r="D11" s="91" t="s">
        <ns0:v>195</ns0:v>
      </ns0:c>
      <ns0:c r="E11" s="139" t="s">
        <ns0:v>196</ns0:v>
      </ns0:c>
      <ns0:c r="F11" s="91" t="s">
        <ns0:v>157</ns0:v>
      </ns0:c>
      <ns0:c r="G11" s="91" t="s">
        <ns0:v>197</ns0:v>
      </ns0:c>
      <ns0:c r="H11" s="95" t="s">
        <ns0:v>164</ns0:v>
      </ns0:c>
    </ns0:row>
    <ns0:row r="12" ht="57" customHeight="1">
      <ns0:c r="A12" s="137" t="s">
        <ns0:v>210</ns0:v>
      </ns0:c>
      <ns0:c r="B12" s="79" t="str">
        <ns0:f t="shared" si="1"/>
        <ns0:v>dash_cooldown_down</ns0:v>
      </ns0:c>
      <ns0:c r="C12" s="79" t="s">
        <ns0:v>211</ns0:v>
      </ns0:c>
      <ns0:c r="D12" s="79" t="s">
        <ns0:v>195</ns0:v>
      </ns0:c>
      <ns0:c r="E12" s="139" t="s">
        <ns0:v>196</ns0:v>
      </ns0:c>
      <ns0:c r="F12" s="79" t="s">
        <ns0:v>157</ns0:v>
      </ns0:c>
      <ns0:c r="G12" s="79" t="s">
        <ns0:v>197</ns0:v>
      </ns0:c>
      <ns0:c r="H12" s="83" t="s">
        <ns0:v>164</ns0:v>
      </ns0:c>
    </ns0:row>
    <ns0:row r="13" ht="57" customHeight="1">
      <ns0:c r="A13" s="136" t="s">
        <ns0:v>212</ns0:v>
      </ns0:c>
      <ns0:c r="B13" s="91" t="str">
        <ns0:f t="shared" si="1"/>
        <ns0:v>crit_chance_up</ns0:v>
      </ns0:c>
      <ns0:c r="C13" s="91" t="s">
        <ns0:v>213</ns0:v>
      </ns0:c>
      <ns0:c r="D13" s="91" t="s">
        <ns0:v>195</ns0:v>
      </ns0:c>
      <ns0:c r="E13" s="139" t="s">
        <ns0:v>196</ns0:v>
      </ns0:c>
      <ns0:c r="F13" s="91" t="s">
        <ns0:v>157</ns0:v>
      </ns0:c>
      <ns0:c r="G13" s="91" t="s">
        <ns0:v>197</ns0:v>
      </ns0:c>
      <ns0:c r="H13" s="95" t="s">
        <ns0:v>164</ns0:v>
      </ns0:c>
    </ns0:row>
    <ns0:row r="14" ht="57" customHeight="1">
      <ns0:c r="A14" s="137" t="s">
        <ns0:v>214</ns0:v>
      </ns0:c>
      <ns0:c r="B14" s="79" t="str">
        <ns0:f t="shared" si="1"/>
        <ns0:v>crit_damage_multiplier_up</ns0:v>
      </ns0:c>
      <ns0:c r="C14" s="79" t="s">
        <ns0:v>215</ns0:v>
      </ns0:c>
      <ns0:c r="D14" s="79" t="s">
        <ns0:v>195</ns0:v>
      </ns0:c>
      <ns0:c r="E14" s="139" t="s">
        <ns0:v>196</ns0:v>
      </ns0:c>
      <ns0:c r="F14" s="79" t="s">
        <ns0:v>157</ns0:v>
      </ns0:c>
      <ns0:c r="G14" s="79" t="s">
        <ns0:v>197</ns0:v>
      </ns0:c>
      <ns0:c r="H14" s="83" t="s">
        <ns0:v>164</ns0:v>
      </ns0:c>
    </ns0:row>
    <ns0:row r="15" ht="57" customHeight="1">
      <ns0:c r="A15" s="136" t="s">
        <ns0:v>216</ns0:v>
      </ns0:c>
      <ns0:c r="B15" s="91" t="str">
        <ns0:f t="shared" si="1"/>
        <ns0:v>momentum_strike</ns0:v>
      </ns0:c>
      <ns0:c r="C15" s="91" t="s">
        <ns0:v>217</ns0:v>
      </ns0:c>
      <ns0:c r="D15" s="91" t="s">
        <ns0:v>195</ns0:v>
      </ns0:c>
      <ns0:c r="E15" s="139" t="s">
        <ns0:v>196</ns0:v>
      </ns0:c>
      <ns0:c r="F15" s="91" t="s">
        <ns0:v>157</ns0:v>
      </ns0:c>
      <ns0:c r="G15" s="91" t="s">
        <ns0:v>197</ns0:v>
      </ns0:c>
      <ns0:c r="H15" s="95" t="s">
        <ns0:v>164</ns0:v>
      </ns0:c>
    </ns0:row>
    <ns0:row r="16" ht="57" customHeight="1">
      <ns0:c r="A16" s="137" t="s">
        <ns0:v>218</ns0:v>
      </ns0:c>
      <ns0:c r="B16" s="79" t="str">
        <ns0:f t="shared" si="1"/>
        <ns0:v>wombo_combo</ns0:v>
      </ns0:c>
      <ns0:c r="C16" s="79" t="s">
        <ns0:v>219</ns0:v>
      </ns0:c>
      <ns0:c r="D16" s="79" t="s">
        <ns0:v>195</ns0:v>
      </ns0:c>
      <ns0:c r="E16" s="139" t="s">
        <ns0:v>196</ns0:v>
      </ns0:c>
      <ns0:c r="F16" s="79" t="s">
        <ns0:v>157</ns0:v>
      </ns0:c>
      <ns0:c r="G16" s="79" t="s">
        <ns0:v>197</ns0:v>
      </ns0:c>
      <ns0:c r="H16" s="83" t="s">
        <ns0:v>164</ns0:v>
      </ns0:c>
    </ns0:row>
    <ns0:row r="17" ht="57" customHeight="1">
      <ns0:c r="A17" s="136" t="s">
        <ns0:v>220</ns0:v>
      </ns0:c>
      <ns0:c r="B17" s="91" t="str">
        <ns0:f t="shared" si="1"/>
        <ns0:v>thief</ns0:v>
      </ns0:c>
      <ns0:c r="C17" s="91" t="s">
        <ns0:v>221</ns0:v>
      </ns0:c>
      <ns0:c r="D17" s="91" t="s">
        <ns0:v>195</ns0:v>
      </ns0:c>
      <ns0:c r="E17" s="139" t="s">
        <ns0:v>196</ns0:v>
      </ns0:c>
      <ns0:c r="F17" s="91" t="s">
        <ns0:v>157</ns0:v>
      </ns0:c>
      <ns0:c r="G17" s="91" t="s">
        <ns0:v>197</ns0:v>
      </ns0:c>
      <ns0:c r="H17" s="95" t="s">
        <ns0:v>164</ns0:v>
      </ns0:c>
    </ns0:row>
    <ns0:row r="18" ht="57" customHeight="1">
      <ns0:c r="A18" s="137" t="s">
        <ns0:v>222</ns0:v>
      </ns0:c>
      <ns0:c r="B18" s="79" t="str">
        <ns0:f t="shared" si="1"/>
        <ns0:v>heavy_strike</ns0:v>
      </ns0:c>
      <ns0:c r="C18" s="79" t="s">
        <ns0:v>223</ns0:v>
      </ns0:c>
      <ns0:c r="D18" s="79" t="s">
        <ns0:v>224</ns0:v>
      </ns0:c>
      <ns0:c r="E18" s="139" t="s">
        <ns0:v>196</ns0:v>
      </ns0:c>
      <ns0:c r="F18" s="79" t="s">
        <ns0:v>157</ns0:v>
      </ns0:c>
      <ns0:c r="G18" s="79" t="s">
        <ns0:v>197</ns0:v>
      </ns0:c>
      <ns0:c r="H18" s="83" t="s">
        <ns0:v>164</ns0:v>
      </ns0:c>
    </ns0:row>
    <ns0:row r="19" ht="57" customHeight="1">
      <ns0:c r="A19" s="136" t="s">
        <ns0:v>225</ns0:v>
      </ns0:c>
      <ns0:c r="B19" s="91" t="str">
        <ns0:f t="shared" si="1"/>
        <ns0:v>glass_man</ns0:v>
      </ns0:c>
      <ns0:c r="C19" s="91" t="s">
        <ns0:v>226</ns0:v>
      </ns0:c>
      <ns0:c r="D19" s="91" t="s">
        <ns0:v>224</ns0:v>
      </ns0:c>
      <ns0:c r="E19" s="139" t="s">
        <ns0:v>196</ns0:v>
      </ns0:c>
      <ns0:c r="F19" s="91" t="s">
        <ns0:v>157</ns0:v>
      </ns0:c>
      <ns0:c r="G19" s="91" t="s">
        <ns0:v>197</ns0:v>
      </ns0:c>
      <ns0:c r="H19" s="95" t="s">
        <ns0:v>164</ns0:v>
      </ns0:c>
    </ns0:row>
    <ns0:row r="20" ht="57" customHeight="1">
      <ns0:c r="A20" s="137" t="s">
        <ns0:v>227</ns0:v>
      </ns0:c>
      <ns0:c r="B20" s="79" t="str">
        <ns0:f t="shared" si="1"/>
        <ns0:v>feather_weight</ns0:v>
      </ns0:c>
      <ns0:c r="C20" s="79" t="s">
        <ns0:v>228</ns0:v>
      </ns0:c>
      <ns0:c r="D20" s="79" t="s">
        <ns0:v>224</ns0:v>
      </ns0:c>
      <ns0:c r="E20" s="139" t="s">
        <ns0:v>196</ns0:v>
      </ns0:c>
      <ns0:c r="F20" s="79" t="s">
        <ns0:v>157</ns0:v>
      </ns0:c>
      <ns0:c r="G20" s="79" t="s">
        <ns0:v>197</ns0:v>
      </ns0:c>
      <ns0:c r="H20" s="83" t="s">
        <ns0:v>164</ns0:v>
      </ns0:c>
    </ns0:row>
    <ns0:row r="21" ht="57" customHeight="1">
      <ns0:c r="A21" s="136" t="s">
        <ns0:v>229</ns0:v>
      </ns0:c>
      <ns0:c r="B21" s="91" t="str">
        <ns0:f t="shared" si="1"/>
        <ns0:v>coward</ns0:v>
      </ns0:c>
      <ns0:c r="C21" s="91" t="s">
        <ns0:v>230</ns0:v>
      </ns0:c>
      <ns0:c r="D21" s="91" t="s">
        <ns0:v>224</ns0:v>
      </ns0:c>
      <ns0:c r="E21" s="139" t="s">
        <ns0:v>196</ns0:v>
      </ns0:c>
      <ns0:c r="F21" s="91" t="s">
        <ns0:v>157</ns0:v>
      </ns0:c>
      <ns0:c r="G21" s="91" t="s">
        <ns0:v>197</ns0:v>
      </ns0:c>
      <ns0:c r="H21" s="95" t="s">
        <ns0:v>164</ns0:v>
      </ns0:c>
    </ns0:row>
    <ns0:row r="22" ht="57" customHeight="1">
      <ns0:c r="A22" s="137" t="s">
        <ns0:v>231</ns0:v>
      </ns0:c>
      <ns0:c r="B22" s="79" t="str">
        <ns0:f t="shared" si="1"/>
        <ns0:v>sprinter</ns0:v>
      </ns0:c>
      <ns0:c r="C22" s="79" t="s">
        <ns0:v>232</ns0:v>
      </ns0:c>
      <ns0:c r="D22" s="79" t="s">
        <ns0:v>224</ns0:v>
      </ns0:c>
      <ns0:c r="E22" s="139" t="s">
        <ns0:v>196</ns0:v>
      </ns0:c>
      <ns0:c r="F22" s="79" t="s">
        <ns0:v>157</ns0:v>
      </ns0:c>
      <ns0:c r="G22" s="79" t="s">
        <ns0:v>197</ns0:v>
      </ns0:c>
      <ns0:c r="H22" s="83" t="s">
        <ns0:v>164</ns0:v>
      </ns0:c>
    </ns0:row>
    <ns0:row r="23" ht="57" customHeight="1">
      <ns0:c r="A23" s="136" t="s">
        <ns0:v>233</ns0:v>
      </ns0:c>
      <ns0:c r="B23" s="91" t="str">
        <ns0:f t="shared" si="1"/>
        <ns0:v>home_run</ns0:v>
      </ns0:c>
      <ns0:c r="C23" s="91" t="s">
        <ns0:v>234</ns0:v>
      </ns0:c>
      <ns0:c r="D23" s="91" t="s">
        <ns0:v>224</ns0:v>
      </ns0:c>
      <ns0:c r="E23" s="139" t="s">
        <ns0:v>196</ns0:v>
      </ns0:c>
      <ns0:c r="F23" s="91" t="s">
        <ns0:v>157</ns0:v>
      </ns0:c>
      <ns0:c r="G23" s="91" t="s">
        <ns0:v>197</ns0:v>
      </ns0:c>
      <ns0:c r="H23" s="95" t="s">
        <ns0:v>164</ns0:v>
      </ns0:c>
    </ns0:row>
    <ns0:row r="24" ht="57" customHeight="1">
      <ns0:c r="A24" s="137" t="s">
        <ns0:v>235</ns0:v>
      </ns0:c>
      <ns0:c r="B24" s="79" t="str">
        <ns0:f t="shared" si="1"/>
        <ns0:v>defensive_stance</ns0:v>
      </ns0:c>
      <ns0:c r="C24" s="79" t="s">
        <ns0:v>236</ns0:v>
      </ns0:c>
      <ns0:c r="D24" s="79" t="s">
        <ns0:v>224</ns0:v>
      </ns0:c>
      <ns0:c r="E24" s="139" t="s">
        <ns0:v>196</ns0:v>
      </ns0:c>
      <ns0:c r="F24" s="79" t="s">
        <ns0:v>157</ns0:v>
      </ns0:c>
      <ns0:c r="G24" s="79" t="s">
        <ns0:v>197</ns0:v>
      </ns0:c>
      <ns0:c r="H24" s="83" t="s">
        <ns0:v>164</ns0:v>
      </ns0:c>
    </ns0:row>
    <ns0:row r="25" ht="57" customHeight="1">
      <ns0:c r="A25" s="136" t="s">
        <ns0:v>237</ns0:v>
      </ns0:c>
      <ns0:c r="B25" s="91" t="str">
        <ns0:f t="shared" si="1"/>
        <ns0:v>absorber</ns0:v>
      </ns0:c>
      <ns0:c r="C25" s="91" t="s">
        <ns0:v>238</ns0:v>
      </ns0:c>
      <ns0:c r="D25" s="91" t="s">
        <ns0:v>239</ns0:v>
      </ns0:c>
      <ns0:c r="E25" s="139" t="s">
        <ns0:v>196</ns0:v>
      </ns0:c>
      <ns0:c r="F25" s="91" t="s">
        <ns0:v>181</ns0:v>
      </ns0:c>
      <ns0:c r="G25" s="91" t="s">
        <ns0:v>240</ns0:v>
      </ns0:c>
      <ns0:c r="H25" s="95" t="s">
        <ns0:v>164</ns0:v>
      </ns0:c>
    </ns0:row>
    <ns0:row r="26" ht="57" customHeight="1">
      <ns0:c r="A26" s="137" t="s">
        <ns0:v>241</ns0:v>
      </ns0:c>
      <ns0:c r="B26" s="79" t="str">
        <ns0:f t="shared" si="1"/>
        <ns0:v>fast_hands</ns0:v>
      </ns0:c>
      <ns0:c r="C26" s="79" t="s">
        <ns0:v>242</ns0:v>
      </ns0:c>
      <ns0:c r="D26" s="79" t="s">
        <ns0:v>239</ns0:v>
      </ns0:c>
      <ns0:c r="E26" s="139" t="s">
        <ns0:v>196</ns0:v>
      </ns0:c>
      <ns0:c r="F26" s="79" t="s">
        <ns0:v>157</ns0:v>
      </ns0:c>
      <ns0:c r="G26" s="79" t="s">
        <ns0:v>197</ns0:v>
      </ns0:c>
      <ns0:c r="H26" s="83" t="s">
        <ns0:v>164</ns0:v>
      </ns0:c>
    </ns0:row>
    <ns0:row r="27" ht="57" customHeight="1">
      <ns0:c r="A27" s="136" t="s">
        <ns0:v>243</ns0:v>
      </ns0:c>
      <ns0:c r="B27" s="91" t="str">
        <ns0:f t="shared" si="1"/>
        <ns0:v>snake_mask</ns0:v>
      </ns0:c>
      <ns0:c r="C27" s="91" t="s">
        <ns0:v>244</ns0:v>
      </ns0:c>
      <ns0:c r="D27" s="91" t="s">
        <ns0:v>195</ns0:v>
      </ns0:c>
      <ns0:c r="E27" s="139" t="s">
        <ns0:v>196</ns0:v>
      </ns0:c>
      <ns0:c r="F27" s="91" t="s">
        <ns0:v>157</ns0:v>
      </ns0:c>
      <ns0:c r="G27" s="91" t="s">
        <ns0:v>197</ns0:v>
      </ns0:c>
      <ns0:c r="H27" s="95" t="s">
        <ns0:v>164</ns0:v>
      </ns0:c>
    </ns0:row>
    <ns0:row r="28" ht="57" customHeight="1">
      <ns0:c r="A28" s="137" t="s">
        <ns0:v>245</ns0:v>
      </ns0:c>
      <ns0:c r="B28" s="79" t="str">
        <ns0:f t="shared" si="1"/>
        <ns0:v>turtle_mask</ns0:v>
      </ns0:c>
      <ns0:c r="C28" s="79" t="s">
        <ns0:v>246</ns0:v>
      </ns0:c>
      <ns0:c r="D28" s="79" t="s">
        <ns0:v>195</ns0:v>
      </ns0:c>
      <ns0:c r="E28" s="139" t="s">
        <ns0:v>196</ns0:v>
      </ns0:c>
      <ns0:c r="F28" s="79" t="s">
        <ns0:v>157</ns0:v>
      </ns0:c>
      <ns0:c r="G28" s="79" t="s">
        <ns0:v>197</ns0:v>
      </ns0:c>
      <ns0:c r="H28" s="83" t="s">
        <ns0:v>164</ns0:v>
      </ns0:c>
    </ns0:row>
    <ns0:row r="29" ht="57" customHeight="1">
      <ns0:c r="A29" s="136" t="s">
        <ns0:v>247</ns0:v>
      </ns0:c>
      <ns0:c r="B29" s="91" t="str">
        <ns0:f t="shared" si="1"/>
        <ns0:v>butterfly_mask</ns0:v>
      </ns0:c>
      <ns0:c r="C29" s="91" t="s">
        <ns0:v>248</ns0:v>
      </ns0:c>
      <ns0:c r="D29" s="91" t="s">
        <ns0:v>195</ns0:v>
      </ns0:c>
      <ns0:c r="E29" s="139" t="s">
        <ns0:v>196</ns0:v>
      </ns0:c>
      <ns0:c r="F29" s="91" t="s">
        <ns0:v>157</ns0:v>
      </ns0:c>
      <ns0:c r="G29" s="91" t="s">
        <ns0:v>197</ns0:v>
      </ns0:c>
      <ns0:c r="H29" s="95" t="s">
        <ns0:v>164</ns0:v>
      </ns0:c>
    </ns0:row>
    <ns0:row r="30" ht="57" customHeight="1">
      <ns0:c r="A30" s="137" t="s">
        <ns0:v>249</ns0:v>
      </ns0:c>
      <ns0:c r="B30" s="79" t="str">
        <ns0:f t="shared" si="1"/>
        <ns0:v>bear_mask</ns0:v>
      </ns0:c>
      <ns0:c r="C30" s="79" t="s">
        <ns0:v>250</ns0:v>
      </ns0:c>
      <ns0:c r="D30" s="79" t="s">
        <ns0:v>224</ns0:v>
      </ns0:c>
      <ns0:c r="E30" s="139" t="s">
        <ns0:v>196</ns0:v>
      </ns0:c>
      <ns0:c r="F30" s="79" t="s">
        <ns0:v>157</ns0:v>
      </ns0:c>
      <ns0:c r="G30" s="79" t="s">
        <ns0:v>197</ns0:v>
      </ns0:c>
      <ns0:c r="H30" s="83" t="s">
        <ns0:v>164</ns0:v>
      </ns0:c>
    </ns0:row>
    <ns0:row r="31" ht="57" customHeight="1">
      <ns0:c r="A31" s="136" t="s">
        <ns0:v>251</ns0:v>
      </ns0:c>
      <ns0:c r="B31" s="91" t="str">
        <ns0:f t="shared" si="1"/>
        <ns0:v>rabbit_mask</ns0:v>
      </ns0:c>
      <ns0:c r="C31" s="91" t="s">
        <ns0:v>252</ns0:v>
      </ns0:c>
      <ns0:c r="D31" s="91" t="s">
        <ns0:v>224</ns0:v>
      </ns0:c>
      <ns0:c r="E31" s="139" t="s">
        <ns0:v>196</ns0:v>
      </ns0:c>
      <ns0:c r="F31" s="91" t="s">
        <ns0:v>157</ns0:v>
      </ns0:c>
      <ns0:c r="G31" s="91" t="s">
        <ns0:v>197</ns0:v>
      </ns0:c>
      <ns0:c r="H31" s="95" t="s">
        <ns0:v>164</ns0:v>
      </ns0:c>
    </ns0:row>
    <ns0:row r="32" ht="57" customHeight="1">
      <ns0:c r="A32" s="137" t="s">
        <ns0:v>253</ns0:v>
      </ns0:c>
      <ns0:c r="B32" s="79" t="str">
        <ns0:f t="shared" si="1"/>
        <ns0:v>bat_mask</ns0:v>
      </ns0:c>
      <ns0:c r="C32" s="79" t="s">
        <ns0:v>254</ns0:v>
      </ns0:c>
      <ns0:c r="D32" s="79" t="s">
        <ns0:v>255</ns0:v>
      </ns0:c>
      <ns0:c r="E32" s="139" t="s">
        <ns0:v>196</ns0:v>
      </ns0:c>
      <ns0:c r="F32" s="79" t="s">
        <ns0:v>157</ns0:v>
      </ns0:c>
      <ns0:c r="G32" s="79" t="s">
        <ns0:v>197</ns0:v>
      </ns0:c>
      <ns0:c r="H32" s="83" t="s">
        <ns0:v>164</ns0:v>
      </ns0:c>
    </ns0:row>
    <ns0:row r="33" ht="57" customHeight="1">
      <ns0:c r="A33" s="136" t="s">
        <ns0:v>256</ns0:v>
      </ns0:c>
      <ns0:c r="B33" s="91" t="str">
        <ns0:f t="shared" si="1"/>
        <ns0:v>bee_mask</ns0:v>
      </ns0:c>
      <ns0:c r="C33" s="91" t="s">
        <ns0:v>257</ns0:v>
      </ns0:c>
      <ns0:c r="D33" s="91" t="s">
        <ns0:v>258</ns0:v>
      </ns0:c>
      <ns0:c r="E33" s="139" t="s">
        <ns0:v>196</ns0:v>
      </ns0:c>
      <ns0:c r="F33" s="91" t="s">
        <ns0:v>157</ns0:v>
      </ns0:c>
      <ns0:c r="G33" s="91" t="s">
        <ns0:v>197</ns0:v>
      </ns0:c>
      <ns0:c r="H33" s="95" t="s">
        <ns0:v>164</ns0:v>
      </ns0:c>
    </ns0:row>
    <ns0:row r="34" ht="57" customHeight="1">
      <ns0:c r="A34" s="137" t="s">
        <ns0:v>259</ns0:v>
      </ns0:c>
      <ns0:c r="B34" s="79" t="str">
        <ns0:f t="shared" si="1"/>
        <ns0:v>man_mask</ns0:v>
      </ns0:c>
      <ns0:c r="C34" s="79" t="s">
        <ns0:v>260</ns0:v>
      </ns0:c>
      <ns0:c r="D34" s="79" t="s">
        <ns0:v>255</ns0:v>
      </ns0:c>
      <ns0:c r="E34" s="139" t="s">
        <ns0:v>261</ns0:v>
      </ns0:c>
      <ns0:c r="F34" s="79" t="s">
        <ns0:v>262</ns0:v>
      </ns0:c>
      <ns0:c r="G34" s="79" t="s">
        <ns0:v>263</ns0:v>
      </ns0:c>
      <ns0:c r="H34" s="83" t="s">
        <ns0:v>164</ns0:v>
      </ns0:c>
    </ns0:row>
    <ns0:row r="35" ht="57" customHeight="1">
      <ns0:c r="A35" s="136" t="s">
        <ns0:v>264</ns0:v>
      </ns0:c>
      <ns0:c r="B35" s="91" t="str">
        <ns0:f t="shared" si="1"/>
        <ns0:v>the_emperor_tarot</ns0:v>
      </ns0:c>
      <ns0:c r="C35" s="91" t="s">
        <ns0:v>265</ns0:v>
      </ns0:c>
      <ns0:c r="D35" s="91" t="s">
        <ns0:v>255</ns0:v>
      </ns0:c>
      <ns0:c r="E35" s="139" t="s">
        <ns0:v>196</ns0:v>
      </ns0:c>
      <ns0:c r="F35" s="91" t="s">
        <ns0:v>157</ns0:v>
      </ns0:c>
      <ns0:c r="G35" s="91" t="s">
        <ns0:v>197</ns0:v>
      </ns0:c>
      <ns0:c r="H35" s="95" t="s">
        <ns0:v>164</ns0:v>
      </ns0:c>
    </ns0:row>
    <ns0:row r="36" ht="57" customHeight="1">
      <ns0:c r="A36" s="137" t="s">
        <ns0:v>266</ns0:v>
      </ns0:c>
      <ns0:c r="B36" s="79" t="str">
        <ns0:f t="shared" si="1"/>
        <ns0:v>the_justice_tarot</ns0:v>
      </ns0:c>
      <ns0:c r="C36" s="79" t="s">
        <ns0:v>267</ns0:v>
      </ns0:c>
      <ns0:c r="D36" s="79" t="s">
        <ns0:v>195</ns0:v>
      </ns0:c>
      <ns0:c r="E36" s="139" t="s">
        <ns0:v>196</ns0:v>
      </ns0:c>
      <ns0:c r="F36" s="79" t="s">
        <ns0:v>157</ns0:v>
      </ns0:c>
      <ns0:c r="G36" s="79" t="s">
        <ns0:v>197</ns0:v>
      </ns0:c>
      <ns0:c r="H36" s="83" t="s">
        <ns0:v>164</ns0:v>
      </ns0:c>
    </ns0:row>
    <ns0:row r="37" ht="57" customHeight="1">
      <ns0:c r="A37" s="136" t="s">
        <ns0:v>268</ns0:v>
      </ns0:c>
      <ns0:c r="B37" s="91" t="str">
        <ns0:f t="shared" si="1"/>
        <ns0:v>the_weapon_tarot</ns0:v>
      </ns0:c>
      <ns0:c r="C37" s="91" t="s">
        <ns0:v>269</ns0:v>
      </ns0:c>
      <ns0:c r="D37" s="91" t="s">
        <ns0:v>255</ns0:v>
      </ns0:c>
      <ns0:c r="E37" s="139" t="s">
        <ns0:v>196</ns0:v>
      </ns0:c>
      <ns0:c r="F37" s="91" t="s">
        <ns0:v>157</ns0:v>
      </ns0:c>
      <ns0:c r="G37" s="91" t="s">
        <ns0:v>197</ns0:v>
      </ns0:c>
      <ns0:c r="H37" s="95" t="s">
        <ns0:v>164</ns0:v>
      </ns0:c>
    </ns0:row>
    <ns0:row r="38" ht="57" customHeight="1">
      <ns0:c r="A38" s="137" t="s">
        <ns0:v>270</ns0:v>
      </ns0:c>
      <ns0:c r="B38" s="79" t="str">
        <ns0:f t="shared" si="1"/>
        <ns0:v>the_magician_tarot</ns0:v>
      </ns0:c>
      <ns0:c r="C38" s="79" t="s">
        <ns0:v>271</ns0:v>
      </ns0:c>
      <ns0:c r="D38" s="79" t="s">
        <ns0:v>255</ns0:v>
      </ns0:c>
      <ns0:c r="E38" s="139" t="s">
        <ns0:v>272</ns0:v>
      </ns0:c>
      <ns0:c r="F38" s="79" t="s">
        <ns0:v>114</ns0:v>
      </ns0:c>
      <ns0:c r="G38" s="79" t="s">
        <ns0:v>273</ns0:v>
      </ns0:c>
      <ns0:c r="H38" s="83" t="s">
        <ns0:v>164</ns0:v>
      </ns0:c>
    </ns0:row>
    <ns0:row r="39" ht="57" customHeight="1">
      <ns0:c r="A39" s="136" t="s">
        <ns0:v>274</ns0:v>
      </ns0:c>
      <ns0:c r="B39" s="91" t="str">
        <ns0:f t="shared" si="1"/>
        <ns0:v>the_star_tarot</ns0:v>
      </ns0:c>
      <ns0:c r="C39" s="91" t="s">
        <ns0:v>275</ns0:v>
      </ns0:c>
      <ns0:c r="D39" s="91" t="s">
        <ns0:v>255</ns0:v>
      </ns0:c>
      <ns0:c r="E39" s="139" t="s">
        <ns0:v>276</ns0:v>
      </ns0:c>
      <ns0:c r="F39" s="91" t="s">
        <ns0:v>169</ns0:v>
      </ns0:c>
      <ns0:c r="G39" s="91" t="s">
        <ns0:v>277</ns0:v>
      </ns0:c>
      <ns0:c r="H39" s="95" t="s">
        <ns0:v>164</ns0:v>
      </ns0:c>
    </ns0:row>
    <ns0:row r="40" ht="57" customHeight="1">
      <ns0:c r="A40" s="137" t="s">
        <ns0:v>278</ns0:v>
      </ns0:c>
      <ns0:c r="B40" s="79" t="str">
        <ns0:f t="shared" si="1"/>
        <ns0:v>the_lovers_tarot</ns0:v>
      </ns0:c>
      <ns0:c r="C40" s="79" t="s">
        <ns0:v>279</ns0:v>
      </ns0:c>
      <ns0:c r="D40" s="79" t="s">
        <ns0:v>195</ns0:v>
      </ns0:c>
      <ns0:c r="E40" s="139" t="s">
        <ns0:v>196</ns0:v>
      </ns0:c>
      <ns0:c r="F40" s="79" t="s">
        <ns0:v>157</ns0:v>
      </ns0:c>
      <ns0:c r="G40" s="79" t="s">
        <ns0:v>197</ns0:v>
      </ns0:c>
      <ns0:c r="H40" s="83" t="s">
        <ns0:v>164</ns0:v>
      </ns0:c>
    </ns0:row>
    <ns0:row r="41" ht="78" customHeight="1">
      <ns0:c r="A41" s="136" t="s">
        <ns0:v>280</ns0:v>
      </ns0:c>
      <ns0:c r="B41" s="91" t="str">
        <ns0:f t="shared" si="1"/>
        <ns0:v>the_sun_tarot</ns0:v>
      </ns0:c>
      <ns0:c r="C41" s="91" t="s">
        <ns0:v>281</ns0:v>
      </ns0:c>
      <ns0:c r="D41" s="91" t="s">
        <ns0:v>282</ns0:v>
      </ns0:c>
      <ns0:c r="E41" s="139" t="s">
        <ns0:v>276</ns0:v>
      </ns0:c>
      <ns0:c r="F41" s="91" t="s">
        <ns0:v>173</ns0:v>
      </ns0:c>
      <ns0:c r="G41" s="91" t="s">
        <ns0:v>283</ns0:v>
      </ns0:c>
      <ns0:c r="H41" s="95" t="s">
        <ns0:v>164</ns0:v>
      </ns0:c>
    </ns0:row>
    <ns0:row r="42" ht="78" customHeight="1">
      <ns0:c r="A42" s="137" t="s">
        <ns0:v>284</ns0:v>
      </ns0:c>
      <ns0:c r="B42" s="79" t="str">
        <ns0:f t="shared" si="1"/>
        <ns0:v>the_moon_tarot</ns0:v>
      </ns0:c>
      <ns0:c r="C42" s="79" t="s">
        <ns0:v>285</ns0:v>
      </ns0:c>
      <ns0:c r="D42" s="79" t="s">
        <ns0:v>286</ns0:v>
      </ns0:c>
      <ns0:c r="E42" s="139" t="s">
        <ns0:v>276</ns0:v>
      </ns0:c>
      <ns0:c r="F42" s="79" t="s">
        <ns0:v>177</ns0:v>
      </ns0:c>
      <ns0:c r="G42" s="79" t="s">
        <ns0:v>287</ns0:v>
      </ns0:c>
      <ns0:c r="H42" s="83" t="s">
        <ns0:v>164</ns0:v>
      </ns0:c>
    </ns0:row>
    <ns0:row r="43" ht="57" customHeight="1">
      <ns0:c r="A43" s="136" t="s">
        <ns0:v>288</ns0:v>
      </ns0:c>
      <ns0:c r="B43" s="91" t="str">
        <ns0:f t="shared" si="1"/>
        <ns0:v>the_devil_tarot</ns0:v>
      </ns0:c>
      <ns0:c r="C43" s="91" t="s">
        <ns0:v>289</ns0:v>
      </ns0:c>
      <ns0:c r="D43" s="91" t="s">
        <ns0:v>290</ns0:v>
      </ns0:c>
      <ns0:c r="E43" s="139" t="s">
        <ns0:v>196</ns0:v>
      </ns0:c>
      <ns0:c r="F43" s="91" t="s">
        <ns0:v>181</ns0:v>
      </ns0:c>
      <ns0:c r="G43" s="91" t="s">
        <ns0:v>240</ns0:v>
      </ns0:c>
      <ns0:c r="H43" s="95" t="s">
        <ns0:v>164</ns0:v>
      </ns0:c>
    </ns0:row>
    <ns0:row r="44" ht="78" customHeight="1">
      <ns0:c r="A44" s="137" t="s">
        <ns0:v>291</ns0:v>
      </ns0:c>
      <ns0:c r="B44" s="79" t="str">
        <ns0:f t="shared" si="1"/>
        <ns0:v>the_world_tarot</ns0:v>
      </ns0:c>
      <ns0:c r="C44" s="79" t="s">
        <ns0:v>292</ns0:v>
      </ns0:c>
      <ns0:c r="D44" s="79" t="s">
        <ns0:v>293</ns0:v>
      </ns0:c>
      <ns0:c r="E44" s="139" t="s">
        <ns0:v>196</ns0:v>
      </ns0:c>
      <ns0:c r="F44" s="79" t="s">
        <ns0:v>157</ns0:v>
      </ns0:c>
      <ns0:c r="G44" s="79" t="s">
        <ns0:v>197</ns0:v>
      </ns0:c>
      <ns0:c r="H44" s="83" t="s">
        <ns0:v>164</ns0:v>
      </ns0:c>
    </ns0:row>
    <ns0:row r="45" ht="57" customHeight="1">
      <ns0:c r="A45" s="136" t="s">
        <ns0:v>294</ns0:v>
      </ns0:c>
      <ns0:c r="B45" s="91" t="str">
        <ns0:f t="shared" si="1"/>
        <ns0:v>the_fool_tarot</ns0:v>
      </ns0:c>
      <ns0:c r="C45" s="91" t="s">
        <ns0:v>295</ns0:v>
      </ns0:c>
      <ns0:c r="D45" s="91"/>
      <ns0:c r="E45" s="139" t="s">
        <ns0:v>196</ns0:v>
      </ns0:c>
      <ns0:c r="F45" s="91" t="s">
        <ns0:v>157</ns0:v>
      </ns0:c>
      <ns0:c r="G45" s="91" t="s">
        <ns0:v>197</ns0:v>
      </ns0:c>
      <ns0:c r="H45" s="95" t="s">
        <ns0:v>164</ns0:v>
      </ns0:c>
    </ns0:row>
    <ns0:row r="46" ht="57" customHeight="1">
      <ns0:c r="A46" s="137" t="s">
        <ns0:v>296</ns0:v>
      </ns0:c>
      <ns0:c r="B46" s="79" t="str">
        <ns0:f t="shared" si="1"/>
        <ns0:v>the_chariot_tarot</ns0:v>
      </ns0:c>
      <ns0:c r="C46" s="79" t="s">
        <ns0:v>297</ns0:v>
      </ns0:c>
      <ns0:c r="D46" s="79"/>
      <ns0:c r="E46" s="139" t="s">
        <ns0:v>196</ns0:v>
      </ns0:c>
      <ns0:c r="F46" s="79" t="s">
        <ns0:v>157</ns0:v>
      </ns0:c>
      <ns0:c r="G46" s="79" t="s">
        <ns0:v>197</ns0:v>
      </ns0:c>
      <ns0:c r="H46" s="83" t="s">
        <ns0:v>164</ns0:v>
      </ns0:c>
    </ns0:row>
    <ns0:row r="47" ht="57" customHeight="1">
      <ns0:c r="A47" s="136" t="s">
        <ns0:v>298</ns0:v>
      </ns0:c>
      <ns0:c r="B47" s="91" t="str">
        <ns0:f t="shared" si="1"/>
        <ns0:v>the_hanged_man</ns0:v>
      </ns0:c>
      <ns0:c r="C47" s="91" t="s">
        <ns0:v>299</ns0:v>
      </ns0:c>
      <ns0:c r="D47" s="91"/>
      <ns0:c r="E47" s="139" t="s">
        <ns0:v>196</ns0:v>
      </ns0:c>
      <ns0:c r="F47" s="91" t="s">
        <ns0:v>181</ns0:v>
      </ns0:c>
      <ns0:c r="G47" s="91" t="s">
        <ns0:v>240</ns0:v>
      </ns0:c>
      <ns0:c r="H47" s="95" t="s">
        <ns0:v>164</ns0:v>
      </ns0:c>
    </ns0:row>
    <ns0:row r="48" ht="57" customHeight="1">
      <ns0:c r="A48" s="137" t="s">
        <ns0:v>300</ns0:v>
      </ns0:c>
      <ns0:c r="B48" s="79" t="str">
        <ns0:f t="shared" si="1"/>
        <ns0:v>the_empress_tarot</ns0:v>
      </ns0:c>
      <ns0:c r="C48" s="79" t="s">
        <ns0:v>301</ns0:v>
      </ns0:c>
      <ns0:c r="D48" s="79"/>
      <ns0:c r="E48" s="139" t="s">
        <ns0:v>196</ns0:v>
      </ns0:c>
      <ns0:c r="F48" s="79" t="s">
        <ns0:v>157</ns0:v>
      </ns0:c>
      <ns0:c r="G48" s="79" t="s">
        <ns0:v>197</ns0:v>
      </ns0:c>
      <ns0:c r="H48" s="83" t="s">
        <ns0:v>164</ns0:v>
      </ns0:c>
    </ns0:row>
    <ns0:row r="49" ht="57" customHeight="1">
      <ns0:c r="A49" s="136" t="s">
        <ns0:v>302</ns0:v>
      </ns0:c>
      <ns0:c r="B49" s="91" t="str">
        <ns0:f t="shared" si="1"/>
        <ns0:v>the_high_priestess</ns0:v>
      </ns0:c>
      <ns0:c r="C49" s="91" t="s">
        <ns0:v>303</ns0:v>
      </ns0:c>
      <ns0:c r="D49" s="91"/>
      <ns0:c r="E49" s="139" t="s">
        <ns0:v>196</ns0:v>
      </ns0:c>
      <ns0:c r="F49" s="91" t="s">
        <ns0:v>157</ns0:v>
      </ns0:c>
      <ns0:c r="G49" s="91" t="s">
        <ns0:v>197</ns0:v>
      </ns0:c>
      <ns0:c r="H49" s="95" t="s">
        <ns0:v>164</ns0:v>
      </ns0:c>
    </ns0:row>
    <ns0:row r="50" ht="57" customHeight="1">
      <ns0:c r="A50" s="137" t="s">
        <ns0:v>304</ns0:v>
      </ns0:c>
      <ns0:c r="B50" s="79" t="str">
        <ns0:f t="shared" si="1"/>
        <ns0:v>the_hermit_tarot</ns0:v>
      </ns0:c>
      <ns0:c r="C50" s="79" t="s">
        <ns0:v>305</ns0:v>
      </ns0:c>
      <ns0:c r="D50" s="79"/>
      <ns0:c r="E50" s="139" t="s">
        <ns0:v>196</ns0:v>
      </ns0:c>
      <ns0:c r="F50" s="79" t="s">
        <ns0:v>157</ns0:v>
      </ns0:c>
      <ns0:c r="G50" s="79" t="s">
        <ns0:v>197</ns0:v>
      </ns0:c>
      <ns0:c r="H50" s="83" t="s">
        <ns0:v>164</ns0:v>
      </ns0:c>
    </ns0:row>
    <ns0:row r="51" ht="57" customHeight="1">
      <ns0:c r="A51" s="138" t="s">
        <ns0:v>306</ns0:v>
      </ns0:c>
      <ns0:c r="B51" s="111" t="str">
        <ns0:f t="shared" si="1"/>
        <ns0:v>the_tower_tarot</ns0:v>
      </ns0:c>
      <ns0:c r="C51" s="111" t="s">
        <ns0:v>307</ns0:v>
      </ns0:c>
      <ns0:c r="D51" s="111"/>
      <ns0:c r="E51" s="140" t="s">
        <ns0:v>196</ns0:v>
      </ns0:c>
      <ns0:c r="F51" s="111" t="s">
        <ns0:v>157</ns0:v>
      </ns0:c>
      <ns0:c r="G51" s="111" t="s">
        <ns0:v>197</ns0:v>
      </ns0:c>
      <ns0:c r="H51" s="112" t="s">
        <ns0:v>164</ns0:v>
      </ns0:c>
    </ns0:row>
    <ns0:row r="52" ht="15.75" customHeight="1">
      <ns0:c r="E52" s="21"/>
    </ns0:row>
    <ns0:row r="53" ht="15.75" customHeight="1">
      <ns0:c r="E53" s="21"/>
    </ns0:row>
    <ns0:row r="54" ht="15.75" customHeight="1">
      <ns0:c r="E54" s="21"/>
    </ns0:row>
    <ns0:row r="55" ht="15.75" customHeight="1">
      <ns0:c r="E55" s="21"/>
    </ns0:row>
    <ns0:row r="56" ht="15.75" customHeight="1">
      <ns0:c r="E56" s="21"/>
    </ns0:row>
    <ns0:row r="57" ht="15.75" customHeight="1">
      <ns0:c r="E57" s="21"/>
    </ns0:row>
    <ns0:row r="58" ht="15.75" customHeight="1">
      <ns0:c r="E58" s="21"/>
    </ns0:row>
    <ns0:row r="59" ht="15.75" customHeight="1">
      <ns0:c r="E59" s="21"/>
    </ns0:row>
    <ns0:row r="60" ht="15.75" customHeight="1">
      <ns0:c r="E60" s="21"/>
    </ns0:row>
    <ns0:row r="61" ht="15.75" customHeight="1">
      <ns0:c r="E61" s="21"/>
    </ns0:row>
    <ns0:row r="62" ht="15.75" customHeight="1">
      <ns0:c r="E62" s="21"/>
    </ns0:row>
    <ns0:row r="63" ht="15.75" customHeight="1">
      <ns0:c r="E63" s="21"/>
    </ns0:row>
    <ns0:row r="64" ht="15.75" customHeight="1">
      <ns0:c r="E64" s="21"/>
    </ns0:row>
    <ns0:row r="65" ht="15.75" customHeight="1">
      <ns0:c r="E65" s="21"/>
    </ns0:row>
    <ns0:row r="66" ht="15.75" customHeight="1">
      <ns0:c r="E66" s="21"/>
    </ns0:row>
    <ns0:row r="67" ht="15.75" customHeight="1">
      <ns0:c r="E67" s="21"/>
    </ns0:row>
    <ns0:row r="68" ht="15.75" customHeight="1">
      <ns0:c r="E68" s="21"/>
    </ns0:row>
    <ns0:row r="69" ht="15.75" customHeight="1">
      <ns0:c r="E69" s="21"/>
    </ns0:row>
    <ns0:row r="70" ht="15.75" customHeight="1">
      <ns0:c r="E70" s="21"/>
    </ns0:row>
    <ns0:row r="71" ht="15.75" customHeight="1">
      <ns0:c r="E71" s="21"/>
    </ns0:row>
    <ns0:row r="72" ht="15.75" customHeight="1">
      <ns0:c r="E72" s="21"/>
    </ns0:row>
    <ns0:row r="73" ht="15.75" customHeight="1">
      <ns0:c r="E73" s="21"/>
    </ns0:row>
    <ns0:row r="74" ht="15.75" customHeight="1">
      <ns0:c r="E74" s="21"/>
    </ns0:row>
    <ns0:row r="75" ht="15.75" customHeight="1">
      <ns0:c r="E75" s="21"/>
    </ns0:row>
    <ns0:row r="76" ht="15.75" customHeight="1">
      <ns0:c r="E76" s="21"/>
    </ns0:row>
    <ns0:row r="77" ht="15.75" customHeight="1">
      <ns0:c r="E77" s="21"/>
    </ns0:row>
    <ns0:row r="78" ht="15.75" customHeight="1">
      <ns0:c r="E78" s="21"/>
    </ns0:row>
    <ns0:row r="79" ht="15.75" customHeight="1">
      <ns0:c r="E79" s="21"/>
    </ns0:row>
    <ns0:row r="80" ht="15.75" customHeight="1">
      <ns0:c r="E80" s="21"/>
    </ns0:row>
    <ns0:row r="81" ht="15.75" customHeight="1">
      <ns0:c r="E81" s="21"/>
    </ns0:row>
    <ns0:row r="82" ht="15.75" customHeight="1">
      <ns0:c r="E82" s="21"/>
    </ns0:row>
    <ns0:row r="83" ht="15.75" customHeight="1">
      <ns0:c r="E83" s="21"/>
    </ns0:row>
    <ns0:row r="84" ht="15.75" customHeight="1">
      <ns0:c r="E84" s="21"/>
    </ns0:row>
    <ns0:row r="85" ht="15.75" customHeight="1">
      <ns0:c r="E85" s="21"/>
    </ns0:row>
    <ns0:row r="86" ht="15.75" customHeight="1">
      <ns0:c r="E86" s="21"/>
    </ns0:row>
    <ns0:row r="87" ht="15.75" customHeight="1">
      <ns0:c r="E87" s="21"/>
    </ns0:row>
    <ns0:row r="88" ht="15.75" customHeight="1">
      <ns0:c r="E88" s="21"/>
    </ns0:row>
    <ns0:row r="89" ht="15.75" customHeight="1">
      <ns0:c r="E89" s="21"/>
    </ns0:row>
    <ns0:row r="90" ht="15.75" customHeight="1">
      <ns0:c r="E90" s="21"/>
    </ns0:row>
    <ns0:row r="91" ht="15.75" customHeight="1">
      <ns0:c r="E91" s="21"/>
    </ns0:row>
    <ns0:row r="92" ht="15.75" customHeight="1">
      <ns0:c r="E92" s="21"/>
    </ns0:row>
    <ns0:row r="93" ht="15.75" customHeight="1">
      <ns0:c r="E93" s="21"/>
    </ns0:row>
    <ns0:row r="94" ht="15.75" customHeight="1">
      <ns0:c r="E94" s="21"/>
    </ns0:row>
    <ns0:row r="95" ht="15.75" customHeight="1">
      <ns0:c r="E95" s="21"/>
    </ns0:row>
    <ns0:row r="96" ht="15.75" customHeight="1">
      <ns0:c r="E96" s="21"/>
    </ns0:row>
    <ns0:row r="97" ht="15.75" customHeight="1">
      <ns0:c r="E97" s="21"/>
    </ns0:row>
    <ns0:row r="98" ht="15.75" customHeight="1">
      <ns0:c r="E98" s="21"/>
    </ns0:row>
    <ns0:row r="99" ht="15.75" customHeight="1">
      <ns0:c r="E99" s="21"/>
    </ns0:row>
    <ns0:row r="100" ht="15.75" customHeight="1">
      <ns0:c r="E100" s="21"/>
    </ns0:row>
    <ns0:row r="101" ht="15.75" customHeight="1">
      <ns0:c r="E101" s="21"/>
    </ns0:row>
    <ns0:row r="102" ht="15.75" customHeight="1">
      <ns0:c r="E102" s="21"/>
    </ns0:row>
    <ns0:row r="103" ht="15.75" customHeight="1">
      <ns0:c r="E103" s="21"/>
    </ns0:row>
    <ns0:row r="104" ht="15.75" customHeight="1">
      <ns0:c r="E104" s="21"/>
    </ns0:row>
    <ns0:row r="105" ht="15.75" customHeight="1"/>
    <ns0:row r="106" ht="15.75" customHeight="1"/>
    <ns0:row r="107" ht="15.75" customHeight="1"/>
    <ns0:row r="108" ht="15.75" customHeight="1"/>
    <ns0:row r="109" ht="15.75" customHeight="1"/>
    <ns0:row r="110" ht="15.75" customHeight="1"/>
    <ns0:row r="111" ht="15.75" customHeight="1"/>
    <ns0:row r="112" ht="15.75" customHeight="1"/>
    <ns0:row r="113" ht="15.75" customHeight="1"/>
    <ns0:row r="114" ht="15.75" customHeight="1"/>
    <ns0:row r="115" ht="15.75" customHeight="1"/>
    <ns0:row r="116" ht="15.75" customHeight="1"/>
    <ns0:row r="117" ht="15.75" customHeight="1"/>
    <ns0:row r="118" ht="15.75" customHeight="1"/>
    <ns0:row r="119" ht="15.75" customHeight="1"/>
    <ns0:row r="120" ht="15.75" customHeight="1"/>
    <ns0:row r="121" ht="15.75" customHeight="1"/>
    <ns0:row r="122" ht="15.75" customHeight="1"/>
    <ns0:row r="123" ht="15.75" customHeight="1"/>
    <ns0:row r="124" ht="15.75" customHeight="1"/>
    <ns0:row r="125" ht="15.75" customHeight="1"/>
    <ns0:row r="126" ht="15.75" customHeight="1"/>
    <ns0:row r="127" ht="15.75" customHeight="1"/>
    <ns0:row r="128" ht="15.75" customHeight="1"/>
    <ns0:row r="129" ht="15.75" customHeight="1"/>
    <ns0:row r="130" ht="15.75" customHeight="1"/>
    <ns0:row r="131" ht="15.75" customHeight="1"/>
    <ns0:row r="132" ht="15.75" customHeight="1"/>
    <ns0:row r="133" ht="15.75" customHeight="1"/>
    <ns0:row r="134" ht="15.75" customHeight="1"/>
    <ns0:row r="135" ht="15.75" customHeight="1"/>
    <ns0:row r="136" ht="15.75" customHeight="1"/>
    <ns0:row r="137" ht="15.75" customHeight="1"/>
    <ns0:row r="138" ht="15.75" customHeight="1"/>
    <ns0:row r="139" ht="15.75" customHeight="1"/>
    <ns0:row r="140" ht="15.75" customHeight="1"/>
    <ns0:row r="141" ht="15.75" customHeight="1"/>
    <ns0:row r="142" ht="15.75" customHeight="1"/>
    <ns0:row r="143" ht="15.75" customHeight="1"/>
    <ns0:row r="144" ht="15.75" customHeight="1"/>
    <ns0:row r="145" ht="15.75" customHeight="1"/>
    <ns0:row r="146" ht="15.75" customHeight="1"/>
    <ns0:row r="147" ht="15.75" customHeight="1"/>
    <ns0:row r="148" ht="15.75" customHeight="1"/>
    <ns0:row r="149" ht="15.75" customHeight="1"/>
    <ns0:row r="150" ht="15.75" customHeight="1"/>
    <ns0:row r="151" ht="15.75" customHeight="1"/>
    <ns0:row r="152" ht="15.75" customHeight="1"/>
    <ns0:row r="153" ht="15.75" customHeight="1"/>
    <ns0:row r="154" ht="15.75" customHeight="1"/>
    <ns0:row r="155" ht="15.75" customHeight="1"/>
    <ns0:row r="156" ht="15.75" customHeight="1"/>
    <ns0:row r="157" ht="15.75" customHeight="1"/>
    <ns0:row r="158" ht="15.75" customHeight="1"/>
    <ns0:row r="159" ht="15.75" customHeight="1"/>
    <ns0:row r="160" ht="15.75" customHeight="1"/>
    <ns0:row r="161" ht="15.75" customHeight="1"/>
    <ns0:row r="162" ht="15.75" customHeight="1"/>
    <ns0:row r="163" ht="15.75" customHeight="1"/>
    <ns0:row r="164" ht="15.75" customHeight="1"/>
    <ns0:row r="165" ht="15.75" customHeight="1"/>
    <ns0:row r="166" ht="15.75" customHeight="1"/>
    <ns0:row r="167" ht="15.75" customHeight="1"/>
    <ns0:row r="168" ht="15.75" customHeight="1"/>
    <ns0:row r="169" ht="15.75" customHeight="1"/>
    <ns0:row r="170" ht="15.75" customHeight="1"/>
    <ns0:row r="171" ht="15.75" customHeight="1"/>
    <ns0:row r="172" ht="15.75" customHeight="1"/>
    <ns0:row r="173" ht="15.75" customHeight="1"/>
    <ns0:row r="174" ht="15.75" customHeight="1"/>
    <ns0:row r="175" ht="15.75" customHeight="1"/>
    <ns0:row r="176" ht="15.75" customHeight="1"/>
    <ns0:row r="177" ht="15.75" customHeight="1"/>
    <ns0:row r="178" ht="15.75" customHeight="1"/>
    <ns0:row r="179" ht="15.75" customHeight="1"/>
    <ns0:row r="180" ht="15.75" customHeight="1"/>
    <ns0:row r="181" ht="15.75" customHeight="1"/>
    <ns0:row r="182" ht="15.75" customHeight="1"/>
    <ns0:row r="183" ht="15.75" customHeight="1"/>
    <ns0:row r="184" ht="15.75" customHeight="1"/>
    <ns0:row r="185" ht="15.75" customHeight="1"/>
    <ns0:row r="186" ht="15.75" customHeight="1"/>
    <ns0:row r="187" ht="15.75" customHeight="1"/>
    <ns0:row r="188" ht="15.75" customHeight="1"/>
    <ns0:row r="189" ht="15.75" customHeight="1"/>
    <ns0:row r="190" ht="15.75" customHeight="1"/>
    <ns0:row r="191" ht="15.75" customHeight="1"/>
    <ns0:row r="192" ht="15.75" customHeight="1"/>
    <ns0:row r="193" ht="15.75" customHeight="1"/>
    <ns0:row r="194" ht="15.75" customHeight="1"/>
    <ns0:row r="195" ht="15.75" customHeight="1"/>
    <ns0:row r="196" ht="15.75" customHeight="1"/>
    <ns0:row r="197" ht="15.75" customHeight="1"/>
    <ns0:row r="198" ht="15.75" customHeight="1"/>
    <ns0:row r="199" ht="15.75" customHeight="1"/>
    <ns0:row r="200" ht="15.75" customHeight="1"/>
    <ns0:row r="201" ht="15.75" customHeight="1"/>
    <ns0:row r="202" ht="15.75" customHeight="1"/>
    <ns0:row r="203" ht="15.75" customHeight="1"/>
    <ns0:row r="204" ht="15.75" customHeight="1"/>
    <ns0:row r="205" ht="15.75" customHeight="1"/>
    <ns0:row r="206" ht="15.75" customHeight="1"/>
    <ns0:row r="207" ht="15.75" customHeight="1"/>
    <ns0:row r="208" ht="15.75" customHeight="1"/>
    <ns0:row r="209" ht="15.75" customHeight="1"/>
    <ns0:row r="210" ht="15.75" customHeight="1"/>
    <ns0:row r="211" ht="15.75" customHeight="1"/>
    <ns0:row r="212" ht="15.75" customHeight="1"/>
    <ns0:row r="213" ht="15.75" customHeight="1"/>
    <ns0:row r="214" ht="15.75" customHeight="1"/>
    <ns0:row r="215" ht="15.75" customHeight="1"/>
    <ns0:row r="216" ht="15.75" customHeight="1"/>
    <ns0:row r="217" ht="15.75" customHeight="1"/>
    <ns0:row r="218" ht="15.75" customHeight="1"/>
    <ns0:row r="219" ht="15.75" customHeight="1"/>
    <ns0:row r="220" ht="15.75" customHeight="1"/>
    <ns0:row r="221" ht="15.75" customHeight="1"/>
    <ns0:row r="222" ht="15.75" customHeight="1"/>
    <ns0:row r="223" ht="15.75" customHeight="1"/>
    <ns0:row r="224" ht="15.75" customHeight="1"/>
    <ns0:row r="225" ht="15.75" customHeight="1"/>
    <ns0:row r="226" ht="15.75" customHeight="1"/>
    <ns0:row r="227" ht="15.75" customHeight="1"/>
    <ns0:row r="228" ht="15.75" customHeight="1"/>
    <ns0:row r="229" ht="15.75" customHeight="1"/>
    <ns0:row r="230" ht="15.75" customHeight="1"/>
    <ns0:row r="231" ht="15.75" customHeight="1"/>
    <ns0:row r="232" ht="15.75" customHeight="1"/>
    <ns0:row r="233" ht="15.75" customHeight="1"/>
    <ns0:row r="234" ht="15.75" customHeight="1"/>
    <ns0:row r="235" ht="15.75" customHeight="1"/>
    <ns0:row r="236" ht="15.75" customHeight="1"/>
    <ns0:row r="237" ht="15.75" customHeight="1"/>
    <ns0:row r="238" ht="15.75" customHeight="1"/>
    <ns0:row r="239" ht="15.75" customHeight="1"/>
    <ns0:row r="240" ht="15.75" customHeight="1"/>
    <ns0:row r="241" ht="15.75" customHeight="1"/>
    <ns0:row r="242" ht="15.75" customHeight="1"/>
    <ns0:row r="243" ht="15.75" customHeight="1"/>
    <ns0:row r="244" ht="15.75" customHeight="1"/>
    <ns0:row r="245" ht="15.75" customHeight="1"/>
    <ns0:row r="246" ht="15.75" customHeight="1"/>
    <ns0:row r="247" ht="15.75" customHeight="1"/>
    <ns0:row r="248" ht="15.75" customHeight="1"/>
    <ns0:row r="249" ht="15.75" customHeight="1"/>
    <ns0:row r="250" ht="15.75" customHeight="1"/>
    <ns0:row r="251" ht="15.75" customHeight="1"/>
    <ns0:row r="252" ht="15.75" customHeight="1"/>
    <ns0:row r="253" ht="15.75" customHeight="1"/>
    <ns0:row r="254" ht="15.75" customHeight="1"/>
    <ns0:row r="255" ht="15.75" customHeight="1"/>
    <ns0:row r="256" ht="15.75" customHeight="1"/>
    <ns0:row r="257" ht="15.75" customHeight="1"/>
    <ns0:row r="258" ht="15.75" customHeight="1"/>
    <ns0:row r="259" ht="15.75" customHeight="1"/>
    <ns0:row r="260" ht="15.75" customHeight="1"/>
    <ns0:row r="261" ht="15.75" customHeight="1"/>
    <ns0:row r="262" ht="15.75" customHeight="1"/>
    <ns0:row r="263" ht="15.75" customHeight="1"/>
    <ns0:row r="264" ht="15.75" customHeight="1"/>
    <ns0:row r="265" ht="15.75" customHeight="1"/>
    <ns0:row r="266" ht="15.75" customHeight="1"/>
    <ns0:row r="267" ht="15.75" customHeight="1"/>
    <ns0:row r="268" ht="15.75" customHeight="1"/>
    <ns0:row r="269" ht="15.75" customHeight="1"/>
    <ns0:row r="270" ht="15.75" customHeight="1"/>
    <ns0:row r="271" ht="15.75" customHeight="1"/>
    <ns0:row r="272" ht="15.75" customHeight="1"/>
    <ns0:row r="273" ht="15.75" customHeight="1"/>
    <ns0:row r="274" ht="15.75" customHeight="1"/>
    <ns0:row r="275" ht="15.75" customHeight="1"/>
    <ns0:row r="276" ht="15.75" customHeight="1"/>
    <ns0:row r="277" ht="15.75" customHeight="1"/>
    <ns0:row r="278" ht="15.75" customHeight="1"/>
    <ns0:row r="279" ht="15.75" customHeight="1"/>
    <ns0:row r="280" ht="15.75" customHeight="1"/>
    <ns0:row r="281" ht="15.75" customHeight="1"/>
    <ns0:row r="282" ht="15.75" customHeight="1"/>
    <ns0:row r="283" ht="15.75" customHeight="1"/>
    <ns0:row r="284" ht="15.75" customHeight="1"/>
    <ns0:row r="285" ht="15.75" customHeight="1"/>
    <ns0:row r="286" ht="15.75" customHeight="1"/>
    <ns0:row r="287" ht="15.75" customHeight="1"/>
    <ns0:row r="288" ht="15.75" customHeight="1"/>
    <ns0:row r="289" ht="15.75" customHeight="1"/>
    <ns0:row r="290" ht="15.75" customHeight="1"/>
    <ns0:row r="291" ht="15.75" customHeight="1"/>
    <ns0:row r="292" ht="15.75" customHeight="1"/>
    <ns0:row r="293" ht="15.75" customHeight="1"/>
    <ns0:row r="294" ht="15.75" customHeight="1"/>
    <ns0:row r="295" ht="15.75" customHeight="1"/>
    <ns0:row r="296" ht="15.75" customHeight="1"/>
    <ns0:row r="297" ht="15.75" customHeight="1"/>
    <ns0:row r="298" ht="15.75" customHeight="1"/>
    <ns0:row r="299" ht="15.75" customHeight="1"/>
    <ns0:row r="300" ht="15.75" customHeight="1"/>
    <ns0:row r="301" ht="15.75" customHeight="1"/>
    <ns0:row r="302" ht="15.75" customHeight="1"/>
    <ns0:row r="303" ht="15.75" customHeight="1"/>
    <ns0:row r="304" ht="15.75" customHeight="1"/>
    <ns0:row r="305" ht="15.75" customHeight="1"/>
    <ns0:row r="306" ht="15.75" customHeight="1"/>
    <ns0:row r="307" ht="15.75" customHeight="1"/>
    <ns0:row r="308" ht="15.75" customHeight="1"/>
    <ns0:row r="309" ht="15.75" customHeight="1"/>
    <ns0:row r="310" ht="15.75" customHeight="1"/>
    <ns0:row r="311" ht="15.75" customHeight="1"/>
    <ns0:row r="312" ht="15.75" customHeight="1"/>
    <ns0:row r="313" ht="15.75" customHeight="1"/>
    <ns0:row r="314" ht="15.75" customHeight="1"/>
    <ns0:row r="315" ht="15.75" customHeight="1"/>
    <ns0:row r="316" ht="15.75" customHeight="1"/>
    <ns0:row r="317" ht="15.75" customHeight="1"/>
    <ns0:row r="318" ht="15.75" customHeight="1"/>
    <ns0:row r="319" ht="15.75" customHeight="1"/>
    <ns0:row r="320" ht="15.75" customHeight="1"/>
    <ns0:row r="321" ht="15.75" customHeight="1"/>
    <ns0:row r="322" ht="15.75" customHeight="1"/>
    <ns0:row r="323" ht="15.75" customHeight="1"/>
    <ns0:row r="324" ht="15.75" customHeight="1"/>
    <ns0:row r="325" ht="15.75" customHeight="1"/>
    <ns0:row r="326" ht="15.75" customHeight="1"/>
    <ns0:row r="327" ht="15.75" customHeight="1"/>
    <ns0:row r="328" ht="15.75" customHeight="1"/>
    <ns0:row r="329" ht="15.75" customHeight="1"/>
    <ns0:row r="330" ht="15.75" customHeight="1"/>
    <ns0:row r="331" ht="15.75" customHeight="1"/>
    <ns0:row r="332" ht="15.75" customHeight="1"/>
    <ns0:row r="333" ht="15.75" customHeight="1"/>
    <ns0:row r="334" ht="15.75" customHeight="1"/>
    <ns0:row r="335" ht="15.75" customHeight="1"/>
    <ns0:row r="336" ht="15.75" customHeight="1"/>
    <ns0:row r="337" ht="15.75" customHeight="1"/>
    <ns0:row r="338" ht="15.75" customHeight="1"/>
    <ns0:row r="339" ht="15.75" customHeight="1"/>
    <ns0:row r="340" ht="15.75" customHeight="1"/>
    <ns0:row r="341" ht="15.75" customHeight="1"/>
    <ns0:row r="342" ht="15.75" customHeight="1"/>
    <ns0:row r="343" ht="15.75" customHeight="1"/>
    <ns0:row r="344" ht="15.75" customHeight="1"/>
    <ns0:row r="345" ht="15.75" customHeight="1"/>
    <ns0:row r="346" ht="15.75" customHeight="1"/>
    <ns0:row r="347" ht="15.75" customHeight="1"/>
    <ns0:row r="348" ht="15.75" customHeight="1"/>
    <ns0:row r="349" ht="15.75" customHeight="1"/>
    <ns0:row r="350" ht="15.75" customHeight="1"/>
    <ns0:row r="351" ht="15.75" customHeight="1"/>
    <ns0:row r="352" ht="15.75" customHeight="1"/>
    <ns0:row r="353" ht="15.75" customHeight="1"/>
    <ns0:row r="354" ht="15.75" customHeight="1"/>
    <ns0:row r="355" ht="15.75" customHeight="1"/>
    <ns0:row r="356" ht="15.75" customHeight="1"/>
    <ns0:row r="357" ht="15.75" customHeight="1"/>
    <ns0:row r="358" ht="15.75" customHeight="1"/>
    <ns0:row r="359" ht="15.75" customHeight="1"/>
    <ns0:row r="360" ht="15.75" customHeight="1"/>
    <ns0:row r="361" ht="15.75" customHeight="1"/>
    <ns0:row r="362" ht="15.75" customHeight="1"/>
    <ns0:row r="363" ht="15.75" customHeight="1"/>
    <ns0:row r="364" ht="15.75" customHeight="1"/>
    <ns0:row r="365" ht="15.75" customHeight="1"/>
    <ns0:row r="366" ht="15.75" customHeight="1"/>
    <ns0:row r="367" ht="15.75" customHeight="1"/>
    <ns0:row r="368" ht="15.75" customHeight="1"/>
    <ns0:row r="369" ht="15.75" customHeight="1"/>
    <ns0:row r="370" ht="15.75" customHeight="1"/>
    <ns0:row r="371" ht="15.75" customHeight="1"/>
    <ns0:row r="372" ht="15.75" customHeight="1"/>
    <ns0:row r="373" ht="15.75" customHeight="1"/>
    <ns0:row r="374" ht="15.75" customHeight="1"/>
    <ns0:row r="375" ht="15.75" customHeight="1"/>
    <ns0:row r="376" ht="15.75" customHeight="1"/>
    <ns0:row r="377" ht="15.75" customHeight="1"/>
    <ns0:row r="378" ht="15.75" customHeight="1"/>
    <ns0:row r="379" ht="15.75" customHeight="1"/>
    <ns0:row r="380" ht="15.75" customHeight="1"/>
    <ns0:row r="381" ht="15.75" customHeight="1"/>
    <ns0:row r="382" ht="15.75" customHeight="1"/>
    <ns0:row r="383" ht="15.75" customHeight="1"/>
    <ns0:row r="384" ht="15.75" customHeight="1"/>
    <ns0:row r="385" ht="15.75" customHeight="1"/>
    <ns0:row r="386" ht="15.75" customHeight="1"/>
    <ns0:row r="387" ht="15.75" customHeight="1"/>
    <ns0:row r="388" ht="15.75" customHeight="1"/>
    <ns0:row r="389" ht="15.75" customHeight="1"/>
    <ns0:row r="390" ht="15.75" customHeight="1"/>
    <ns0:row r="391" ht="15.75" customHeight="1"/>
    <ns0:row r="392" ht="15.75" customHeight="1"/>
    <ns0:row r="393" ht="15.75" customHeight="1"/>
    <ns0:row r="394" ht="15.75" customHeight="1"/>
    <ns0:row r="395" ht="15.75" customHeight="1"/>
    <ns0:row r="396" ht="15.75" customHeight="1"/>
    <ns0:row r="397" ht="15.75" customHeight="1"/>
    <ns0:row r="398" ht="15.75" customHeight="1"/>
    <ns0:row r="399" ht="15.75" customHeight="1"/>
    <ns0:row r="400" ht="15.75" customHeight="1"/>
    <ns0:row r="401" ht="15.75" customHeight="1"/>
    <ns0:row r="402" ht="15.75" customHeight="1"/>
    <ns0:row r="403" ht="15.75" customHeight="1"/>
    <ns0:row r="404" ht="15.75" customHeight="1"/>
    <ns0:row r="405" ht="15.75" customHeight="1"/>
    <ns0:row r="406" ht="15.75" customHeight="1"/>
    <ns0:row r="407" ht="15.75" customHeight="1"/>
    <ns0:row r="408" ht="15.75" customHeight="1"/>
    <ns0:row r="409" ht="15.75" customHeight="1"/>
    <ns0:row r="410" ht="15.75" customHeight="1"/>
    <ns0:row r="411" ht="15.75" customHeight="1"/>
    <ns0:row r="412" ht="15.75" customHeight="1"/>
    <ns0:row r="413" ht="15.75" customHeight="1"/>
    <ns0:row r="414" ht="15.75" customHeight="1"/>
    <ns0:row r="415" ht="15.75" customHeight="1"/>
    <ns0:row r="416" ht="15.75" customHeight="1"/>
    <ns0:row r="417" ht="15.75" customHeight="1"/>
    <ns0:row r="418" ht="15.75" customHeight="1"/>
    <ns0:row r="419" ht="15.75" customHeight="1"/>
    <ns0:row r="420" ht="15.75" customHeight="1"/>
    <ns0:row r="421" ht="15.75" customHeight="1"/>
    <ns0:row r="422" ht="15.75" customHeight="1"/>
    <ns0:row r="423" ht="15.75" customHeight="1"/>
    <ns0:row r="424" ht="15.75" customHeight="1"/>
    <ns0:row r="425" ht="15.75" customHeight="1"/>
    <ns0:row r="426" ht="15.75" customHeight="1"/>
    <ns0:row r="427" ht="15.75" customHeight="1"/>
    <ns0:row r="428" ht="15.75" customHeight="1"/>
    <ns0:row r="429" ht="15.75" customHeight="1"/>
    <ns0:row r="430" ht="15.75" customHeight="1"/>
    <ns0:row r="431" ht="15.75" customHeight="1"/>
    <ns0:row r="432" ht="15.75" customHeight="1"/>
    <ns0:row r="433" ht="15.75" customHeight="1"/>
    <ns0:row r="434" ht="15.75" customHeight="1"/>
    <ns0:row r="435" ht="15.75" customHeight="1"/>
    <ns0:row r="436" ht="15.75" customHeight="1"/>
    <ns0:row r="437" ht="15.75" customHeight="1"/>
    <ns0:row r="438" ht="15.75" customHeight="1"/>
    <ns0:row r="439" ht="15.75" customHeight="1"/>
    <ns0:row r="440" ht="15.75" customHeight="1"/>
    <ns0:row r="441" ht="15.75" customHeight="1"/>
    <ns0:row r="442" ht="15.75" customHeight="1"/>
    <ns0:row r="443" ht="15.75" customHeight="1"/>
    <ns0:row r="444" ht="15.75" customHeight="1"/>
    <ns0:row r="445" ht="15.75" customHeight="1"/>
    <ns0:row r="446" ht="15.75" customHeight="1"/>
    <ns0:row r="447" ht="15.75" customHeight="1"/>
    <ns0:row r="448" ht="15.75" customHeight="1"/>
    <ns0:row r="449" ht="15.75" customHeight="1"/>
    <ns0:row r="450" ht="15.75" customHeight="1"/>
    <ns0:row r="451" ht="15.75" customHeight="1"/>
    <ns0:row r="452" ht="15.75" customHeight="1"/>
    <ns0:row r="453" ht="15.75" customHeight="1"/>
    <ns0:row r="454" ht="15.75" customHeight="1"/>
    <ns0:row r="455" ht="15.75" customHeight="1"/>
    <ns0:row r="456" ht="15.75" customHeight="1"/>
    <ns0:row r="457" ht="15.75" customHeight="1"/>
    <ns0:row r="458" ht="15.75" customHeight="1"/>
    <ns0:row r="459" ht="15.75" customHeight="1"/>
    <ns0:row r="460" ht="15.75" customHeight="1"/>
    <ns0:row r="461" ht="15.75" customHeight="1"/>
    <ns0:row r="462" ht="15.75" customHeight="1"/>
    <ns0:row r="463" ht="15.75" customHeight="1"/>
    <ns0:row r="464" ht="15.75" customHeight="1"/>
    <ns0:row r="465" ht="15.75" customHeight="1"/>
    <ns0:row r="466" ht="15.75" customHeight="1"/>
    <ns0:row r="467" ht="15.75" customHeight="1"/>
    <ns0:row r="468" ht="15.75" customHeight="1"/>
    <ns0:row r="469" ht="15.75" customHeight="1"/>
    <ns0:row r="470" ht="15.75" customHeight="1"/>
    <ns0:row r="471" ht="15.75" customHeight="1"/>
    <ns0:row r="472" ht="15.75" customHeight="1"/>
    <ns0:row r="473" ht="15.75" customHeight="1"/>
    <ns0:row r="474" ht="15.75" customHeight="1"/>
    <ns0:row r="475" ht="15.75" customHeight="1"/>
    <ns0:row r="476" ht="15.75" customHeight="1"/>
    <ns0:row r="477" ht="15.75" customHeight="1"/>
    <ns0:row r="478" ht="15.75" customHeight="1"/>
    <ns0:row r="479" ht="15.75" customHeight="1"/>
    <ns0:row r="480" ht="15.75" customHeight="1"/>
    <ns0:row r="481" ht="15.75" customHeight="1"/>
    <ns0:row r="482" ht="15.75" customHeight="1"/>
    <ns0:row r="483" ht="15.75" customHeight="1"/>
    <ns0:row r="484" ht="15.75" customHeight="1"/>
    <ns0:row r="485" ht="15.75" customHeight="1"/>
    <ns0:row r="486" ht="15.75" customHeight="1"/>
    <ns0:row r="487" ht="15.75" customHeight="1"/>
    <ns0:row r="488" ht="15.75" customHeight="1"/>
    <ns0:row r="489" ht="15.75" customHeight="1"/>
    <ns0:row r="490" ht="15.75" customHeight="1"/>
    <ns0:row r="491" ht="15.75" customHeight="1"/>
    <ns0:row r="492" ht="15.75" customHeight="1"/>
    <ns0:row r="493" ht="15.75" customHeight="1"/>
    <ns0:row r="494" ht="15.75" customHeight="1"/>
    <ns0:row r="495" ht="15.75" customHeight="1"/>
    <ns0:row r="496" ht="15.75" customHeight="1"/>
    <ns0:row r="497" ht="15.75" customHeight="1"/>
    <ns0:row r="498" ht="15.75" customHeight="1"/>
    <ns0:row r="499" ht="15.75" customHeight="1"/>
    <ns0:row r="500" ht="15.75" customHeight="1"/>
    <ns0:row r="501" ht="15.75" customHeight="1"/>
    <ns0:row r="502" ht="15.75" customHeight="1"/>
    <ns0:row r="503" ht="15.75" customHeight="1"/>
    <ns0:row r="504" ht="15.75" customHeight="1"/>
    <ns0:row r="505" ht="15.75" customHeight="1"/>
    <ns0:row r="506" ht="15.75" customHeight="1"/>
    <ns0:row r="507" ht="15.75" customHeight="1"/>
    <ns0:row r="508" ht="15.75" customHeight="1"/>
    <ns0:row r="509" ht="15.75" customHeight="1"/>
    <ns0:row r="510" ht="15.75" customHeight="1"/>
    <ns0:row r="511" ht="15.75" customHeight="1"/>
    <ns0:row r="512" ht="15.75" customHeight="1"/>
    <ns0:row r="513" ht="15.75" customHeight="1"/>
    <ns0:row r="514" ht="15.75" customHeight="1"/>
    <ns0:row r="515" ht="15.75" customHeight="1"/>
    <ns0:row r="516" ht="15.75" customHeight="1"/>
    <ns0:row r="517" ht="15.75" customHeight="1"/>
    <ns0:row r="518" ht="15.75" customHeight="1"/>
    <ns0:row r="519" ht="15.75" customHeight="1"/>
    <ns0:row r="520" ht="15.75" customHeight="1"/>
    <ns0:row r="521" ht="15.75" customHeight="1"/>
    <ns0:row r="522" ht="15.75" customHeight="1"/>
    <ns0:row r="523" ht="15.75" customHeight="1"/>
    <ns0:row r="524" ht="15.75" customHeight="1"/>
    <ns0:row r="525" ht="15.75" customHeight="1"/>
    <ns0:row r="526" ht="15.75" customHeight="1"/>
    <ns0:row r="527" ht="15.75" customHeight="1"/>
    <ns0:row r="528" ht="15.75" customHeight="1"/>
    <ns0:row r="529" ht="15.75" customHeight="1"/>
    <ns0:row r="530" ht="15.75" customHeight="1"/>
    <ns0:row r="531" ht="15.75" customHeight="1"/>
    <ns0:row r="532" ht="15.75" customHeight="1"/>
    <ns0:row r="533" ht="15.75" customHeight="1"/>
    <ns0:row r="534" ht="15.75" customHeight="1"/>
    <ns0:row r="535" ht="15.75" customHeight="1"/>
    <ns0:row r="536" ht="15.75" customHeight="1"/>
    <ns0:row r="537" ht="15.75" customHeight="1"/>
    <ns0:row r="538" ht="15.75" customHeight="1"/>
    <ns0:row r="539" ht="15.75" customHeight="1"/>
    <ns0:row r="540" ht="15.75" customHeight="1"/>
    <ns0:row r="541" ht="15.75" customHeight="1"/>
    <ns0:row r="542" ht="15.75" customHeight="1"/>
    <ns0:row r="543" ht="15.75" customHeight="1"/>
    <ns0:row r="544" ht="15.75" customHeight="1"/>
    <ns0:row r="545" ht="15.75" customHeight="1"/>
    <ns0:row r="546" ht="15.75" customHeight="1"/>
    <ns0:row r="547" ht="15.75" customHeight="1"/>
    <ns0:row r="548" ht="15.75" customHeight="1"/>
    <ns0:row r="549" ht="15.75" customHeight="1"/>
    <ns0:row r="550" ht="15.75" customHeight="1"/>
    <ns0:row r="551" ht="15.75" customHeight="1"/>
    <ns0:row r="552" ht="15.75" customHeight="1"/>
    <ns0:row r="553" ht="15.75" customHeight="1"/>
    <ns0:row r="554" ht="15.75" customHeight="1"/>
    <ns0:row r="555" ht="15.75" customHeight="1"/>
    <ns0:row r="556" ht="15.75" customHeight="1"/>
    <ns0:row r="557" ht="15.75" customHeight="1"/>
    <ns0:row r="558" ht="15.75" customHeight="1"/>
    <ns0:row r="559" ht="15.75" customHeight="1"/>
    <ns0:row r="560" ht="15.75" customHeight="1"/>
    <ns0:row r="561" ht="15.75" customHeight="1"/>
    <ns0:row r="562" ht="15.75" customHeight="1"/>
    <ns0:row r="563" ht="15.75" customHeight="1"/>
    <ns0:row r="564" ht="15.75" customHeight="1"/>
    <ns0:row r="565" ht="15.75" customHeight="1"/>
    <ns0:row r="566" ht="15.75" customHeight="1"/>
    <ns0:row r="567" ht="15.75" customHeight="1"/>
    <ns0:row r="568" ht="15.75" customHeight="1"/>
    <ns0:row r="569" ht="15.75" customHeight="1"/>
    <ns0:row r="570" ht="15.75" customHeight="1"/>
    <ns0:row r="571" ht="15.75" customHeight="1"/>
    <ns0:row r="572" ht="15.75" customHeight="1"/>
    <ns0:row r="573" ht="15.75" customHeight="1"/>
    <ns0:row r="574" ht="15.75" customHeight="1"/>
    <ns0:row r="575" ht="15.75" customHeight="1"/>
    <ns0:row r="576" ht="15.75" customHeight="1"/>
    <ns0:row r="577" ht="15.75" customHeight="1"/>
    <ns0:row r="578" ht="15.75" customHeight="1"/>
    <ns0:row r="579" ht="15.75" customHeight="1"/>
    <ns0:row r="580" ht="15.75" customHeight="1"/>
    <ns0:row r="581" ht="15.75" customHeight="1"/>
    <ns0:row r="582" ht="15.75" customHeight="1"/>
    <ns0:row r="583" ht="15.75" customHeight="1"/>
    <ns0:row r="584" ht="15.75" customHeight="1"/>
    <ns0:row r="585" ht="15.75" customHeight="1"/>
    <ns0:row r="586" ht="15.75" customHeight="1"/>
    <ns0:row r="587" ht="15.75" customHeight="1"/>
    <ns0:row r="588" ht="15.75" customHeight="1"/>
    <ns0:row r="589" ht="15.75" customHeight="1"/>
    <ns0:row r="590" ht="15.75" customHeight="1"/>
    <ns0:row r="591" ht="15.75" customHeight="1"/>
    <ns0:row r="592" ht="15.75" customHeight="1"/>
    <ns0:row r="593" ht="15.75" customHeight="1"/>
    <ns0:row r="594" ht="15.75" customHeight="1"/>
    <ns0:row r="595" ht="15.75" customHeight="1"/>
    <ns0:row r="596" ht="15.75" customHeight="1"/>
    <ns0:row r="597" ht="15.75" customHeight="1"/>
    <ns0:row r="598" ht="15.75" customHeight="1"/>
    <ns0:row r="599" ht="15.75" customHeight="1"/>
    <ns0:row r="600" ht="15.75" customHeight="1"/>
    <ns0:row r="601" ht="15.75" customHeight="1"/>
    <ns0:row r="602" ht="15.75" customHeight="1"/>
    <ns0:row r="603" ht="15.75" customHeight="1"/>
    <ns0:row r="604" ht="15.75" customHeight="1"/>
    <ns0:row r="605" ht="15.75" customHeight="1"/>
    <ns0:row r="606" ht="15.75" customHeight="1"/>
    <ns0:row r="607" ht="15.75" customHeight="1"/>
    <ns0:row r="608" ht="15.75" customHeight="1"/>
    <ns0:row r="609" ht="15.75" customHeight="1"/>
    <ns0:row r="610" ht="15.75" customHeight="1"/>
    <ns0:row r="611" ht="15.75" customHeight="1"/>
    <ns0:row r="612" ht="15.75" customHeight="1"/>
    <ns0:row r="613" ht="15.75" customHeight="1"/>
    <ns0:row r="614" ht="15.75" customHeight="1"/>
    <ns0:row r="615" ht="15.75" customHeight="1"/>
    <ns0:row r="616" ht="15.75" customHeight="1"/>
    <ns0:row r="617" ht="15.75" customHeight="1"/>
    <ns0:row r="618" ht="15.75" customHeight="1"/>
    <ns0:row r="619" ht="15.75" customHeight="1"/>
    <ns0:row r="620" ht="15.75" customHeight="1"/>
    <ns0:row r="621" ht="15.75" customHeight="1"/>
    <ns0:row r="622" ht="15.75" customHeight="1"/>
    <ns0:row r="623" ht="15.75" customHeight="1"/>
    <ns0:row r="624" ht="15.75" customHeight="1"/>
    <ns0:row r="625" ht="15.75" customHeight="1"/>
    <ns0:row r="626" ht="15.75" customHeight="1"/>
    <ns0:row r="627" ht="15.75" customHeight="1"/>
    <ns0:row r="628" ht="15.75" customHeight="1"/>
    <ns0:row r="629" ht="15.75" customHeight="1"/>
    <ns0:row r="630" ht="15.75" customHeight="1"/>
    <ns0:row r="631" ht="15.75" customHeight="1"/>
    <ns0:row r="632" ht="15.75" customHeight="1"/>
    <ns0:row r="633" ht="15.75" customHeight="1"/>
    <ns0:row r="634" ht="15.75" customHeight="1"/>
    <ns0:row r="635" ht="15.75" customHeight="1"/>
    <ns0:row r="636" ht="15.75" customHeight="1"/>
    <ns0:row r="637" ht="15.75" customHeight="1"/>
    <ns0:row r="638" ht="15.75" customHeight="1"/>
    <ns0:row r="639" ht="15.75" customHeight="1"/>
    <ns0:row r="640" ht="15.75" customHeight="1"/>
    <ns0:row r="641" ht="15.75" customHeight="1"/>
    <ns0:row r="642" ht="15.75" customHeight="1"/>
    <ns0:row r="643" ht="15.75" customHeight="1"/>
    <ns0:row r="644" ht="15.75" customHeight="1"/>
    <ns0:row r="645" ht="15.75" customHeight="1"/>
    <ns0:row r="646" ht="15.75" customHeight="1"/>
    <ns0:row r="647" ht="15.75" customHeight="1"/>
    <ns0:row r="648" ht="15.75" customHeight="1"/>
    <ns0:row r="649" ht="15.75" customHeight="1"/>
    <ns0:row r="650" ht="15.75" customHeight="1"/>
    <ns0:row r="651" ht="15.75" customHeight="1"/>
    <ns0:row r="652" ht="15.75" customHeight="1"/>
    <ns0:row r="653" ht="15.75" customHeight="1"/>
    <ns0:row r="654" ht="15.75" customHeight="1"/>
    <ns0:row r="655" ht="15.75" customHeight="1"/>
    <ns0:row r="656" ht="15.75" customHeight="1"/>
    <ns0:row r="657" ht="15.75" customHeight="1"/>
    <ns0:row r="658" ht="15.75" customHeight="1"/>
    <ns0:row r="659" ht="15.75" customHeight="1"/>
    <ns0:row r="660" ht="15.75" customHeight="1"/>
    <ns0:row r="661" ht="15.75" customHeight="1"/>
    <ns0:row r="662" ht="15.75" customHeight="1"/>
    <ns0:row r="663" ht="15.75" customHeight="1"/>
    <ns0:row r="664" ht="15.75" customHeight="1"/>
    <ns0:row r="665" ht="15.75" customHeight="1"/>
    <ns0:row r="666" ht="15.75" customHeight="1"/>
    <ns0:row r="667" ht="15.75" customHeight="1"/>
    <ns0:row r="668" ht="15.75" customHeight="1"/>
    <ns0:row r="669" ht="15.75" customHeight="1"/>
    <ns0:row r="670" ht="15.75" customHeight="1"/>
    <ns0:row r="671" ht="15.75" customHeight="1"/>
    <ns0:row r="672" ht="15.75" customHeight="1"/>
    <ns0:row r="673" ht="15.75" customHeight="1"/>
    <ns0:row r="674" ht="15.75" customHeight="1"/>
    <ns0:row r="675" ht="15.75" customHeight="1"/>
    <ns0:row r="676" ht="15.75" customHeight="1"/>
    <ns0:row r="677" ht="15.75" customHeight="1"/>
    <ns0:row r="678" ht="15.75" customHeight="1"/>
    <ns0:row r="679" ht="15.75" customHeight="1"/>
    <ns0:row r="680" ht="15.75" customHeight="1"/>
    <ns0:row r="681" ht="15.75" customHeight="1"/>
    <ns0:row r="682" ht="15.75" customHeight="1"/>
    <ns0:row r="683" ht="15.75" customHeight="1"/>
    <ns0:row r="684" ht="15.75" customHeight="1"/>
    <ns0:row r="685" ht="15.75" customHeight="1"/>
    <ns0:row r="686" ht="15.75" customHeight="1"/>
    <ns0:row r="687" ht="15.75" customHeight="1"/>
    <ns0:row r="688" ht="15.75" customHeight="1"/>
    <ns0:row r="689" ht="15.75" customHeight="1"/>
    <ns0:row r="690" ht="15.75" customHeight="1"/>
    <ns0:row r="691" ht="15.75" customHeight="1"/>
    <ns0:row r="692" ht="15.75" customHeight="1"/>
    <ns0:row r="693" ht="15.75" customHeight="1"/>
    <ns0:row r="694" ht="15.75" customHeight="1"/>
    <ns0:row r="695" ht="15.75" customHeight="1"/>
    <ns0:row r="696" ht="15.75" customHeight="1"/>
    <ns0:row r="697" ht="15.75" customHeight="1"/>
    <ns0:row r="698" ht="15.75" customHeight="1"/>
    <ns0:row r="699" ht="15.75" customHeight="1"/>
    <ns0:row r="700" ht="15.75" customHeight="1"/>
    <ns0:row r="701" ht="15.75" customHeight="1"/>
    <ns0:row r="702" ht="15.75" customHeight="1"/>
    <ns0:row r="703" ht="15.75" customHeight="1"/>
    <ns0:row r="704" ht="15.75" customHeight="1"/>
    <ns0:row r="705" ht="15.75" customHeight="1"/>
    <ns0:row r="706" ht="15.75" customHeight="1"/>
    <ns0:row r="707" ht="15.75" customHeight="1"/>
    <ns0:row r="708" ht="15.75" customHeight="1"/>
    <ns0:row r="709" ht="15.75" customHeight="1"/>
    <ns0:row r="710" ht="15.75" customHeight="1"/>
    <ns0:row r="711" ht="15.75" customHeight="1"/>
    <ns0:row r="712" ht="15.75" customHeight="1"/>
    <ns0:row r="713" ht="15.75" customHeight="1"/>
    <ns0:row r="714" ht="15.75" customHeight="1"/>
    <ns0:row r="715" ht="15.75" customHeight="1"/>
    <ns0:row r="716" ht="15.75" customHeight="1"/>
    <ns0:row r="717" ht="15.75" customHeight="1"/>
    <ns0:row r="718" ht="15.75" customHeight="1"/>
    <ns0:row r="719" ht="15.75" customHeight="1"/>
    <ns0:row r="720" ht="15.75" customHeight="1"/>
    <ns0:row r="721" ht="15.75" customHeight="1"/>
    <ns0:row r="722" ht="15.75" customHeight="1"/>
    <ns0:row r="723" ht="15.75" customHeight="1"/>
    <ns0:row r="724" ht="15.75" customHeight="1"/>
    <ns0:row r="725" ht="15.75" customHeight="1"/>
    <ns0:row r="726" ht="15.75" customHeight="1"/>
    <ns0:row r="727" ht="15.75" customHeight="1"/>
    <ns0:row r="728" ht="15.75" customHeight="1"/>
    <ns0:row r="729" ht="15.75" customHeight="1"/>
    <ns0:row r="730" ht="15.75" customHeight="1"/>
    <ns0:row r="731" ht="15.75" customHeight="1"/>
    <ns0:row r="732" ht="15.75" customHeight="1"/>
    <ns0:row r="733" ht="15.75" customHeight="1"/>
    <ns0:row r="734" ht="15.75" customHeight="1"/>
    <ns0:row r="735" ht="15.75" customHeight="1"/>
    <ns0:row r="736" ht="15.75" customHeight="1"/>
    <ns0:row r="737" ht="15.75" customHeight="1"/>
    <ns0:row r="738" ht="15.75" customHeight="1"/>
    <ns0:row r="739" ht="15.75" customHeight="1"/>
    <ns0:row r="740" ht="15.75" customHeight="1"/>
    <ns0:row r="741" ht="15.75" customHeight="1"/>
    <ns0:row r="742" ht="15.75" customHeight="1"/>
    <ns0:row r="743" ht="15.75" customHeight="1"/>
    <ns0:row r="744" ht="15.75" customHeight="1"/>
    <ns0:row r="745" ht="15.75" customHeight="1"/>
    <ns0:row r="746" ht="15.75" customHeight="1"/>
    <ns0:row r="747" ht="15.75" customHeight="1"/>
    <ns0:row r="748" ht="15.75" customHeight="1"/>
    <ns0:row r="749" ht="15.75" customHeight="1"/>
    <ns0:row r="750" ht="15.75" customHeight="1"/>
    <ns0:row r="751" ht="15.75" customHeight="1"/>
    <ns0:row r="752" ht="15.75" customHeight="1"/>
    <ns0:row r="753" ht="15.75" customHeight="1"/>
    <ns0:row r="754" ht="15.75" customHeight="1"/>
    <ns0:row r="755" ht="15.75" customHeight="1"/>
    <ns0:row r="756" ht="15.75" customHeight="1"/>
    <ns0:row r="757" ht="15.75" customHeight="1"/>
    <ns0:row r="758" ht="15.75" customHeight="1"/>
    <ns0:row r="759" ht="15.75" customHeight="1"/>
    <ns0:row r="760" ht="15.75" customHeight="1"/>
    <ns0:row r="761" ht="15.75" customHeight="1"/>
    <ns0:row r="762" ht="15.75" customHeight="1"/>
    <ns0:row r="763" ht="15.75" customHeight="1"/>
    <ns0:row r="764" ht="15.75" customHeight="1"/>
    <ns0:row r="765" ht="15.75" customHeight="1"/>
    <ns0:row r="766" ht="15.75" customHeight="1"/>
    <ns0:row r="767" ht="15.75" customHeight="1"/>
    <ns0:row r="768" ht="15.75" customHeight="1"/>
    <ns0:row r="769" ht="15.75" customHeight="1"/>
    <ns0:row r="770" ht="15.75" customHeight="1"/>
    <ns0:row r="771" ht="15.75" customHeight="1"/>
    <ns0:row r="772" ht="15.75" customHeight="1"/>
    <ns0:row r="773" ht="15.75" customHeight="1"/>
    <ns0:row r="774" ht="15.75" customHeight="1"/>
    <ns0:row r="775" ht="15.75" customHeight="1"/>
    <ns0:row r="776" ht="15.75" customHeight="1"/>
    <ns0:row r="777" ht="15.75" customHeight="1"/>
    <ns0:row r="778" ht="15.75" customHeight="1"/>
    <ns0:row r="779" ht="15.75" customHeight="1"/>
    <ns0:row r="780" ht="15.75" customHeight="1"/>
    <ns0:row r="781" ht="15.75" customHeight="1"/>
    <ns0:row r="782" ht="15.75" customHeight="1"/>
    <ns0:row r="783" ht="15.75" customHeight="1"/>
    <ns0:row r="784" ht="15.75" customHeight="1"/>
    <ns0:row r="785" ht="15.75" customHeight="1"/>
    <ns0:row r="786" ht="15.75" customHeight="1"/>
    <ns0:row r="787" ht="15.75" customHeight="1"/>
    <ns0:row r="788" ht="15.75" customHeight="1"/>
    <ns0:row r="789" ht="15.75" customHeight="1"/>
    <ns0:row r="790" ht="15.75" customHeight="1"/>
    <ns0:row r="791" ht="15.75" customHeight="1"/>
    <ns0:row r="792" ht="15.75" customHeight="1"/>
    <ns0:row r="793" ht="15.75" customHeight="1"/>
    <ns0:row r="794" ht="15.75" customHeight="1"/>
    <ns0:row r="795" ht="15.75" customHeight="1"/>
    <ns0:row r="796" ht="15.75" customHeight="1"/>
    <ns0:row r="797" ht="15.75" customHeight="1"/>
    <ns0:row r="798" ht="15.75" customHeight="1"/>
    <ns0:row r="799" ht="15.75" customHeight="1"/>
    <ns0:row r="800" ht="15.75" customHeight="1"/>
    <ns0:row r="801" ht="15.75" customHeight="1"/>
    <ns0:row r="802" ht="15.75" customHeight="1"/>
    <ns0:row r="803" ht="15.75" customHeight="1"/>
    <ns0:row r="804" ht="15.75" customHeight="1"/>
    <ns0:row r="805" ht="15.75" customHeight="1"/>
    <ns0:row r="806" ht="15.75" customHeight="1"/>
    <ns0:row r="807" ht="15.75" customHeight="1"/>
    <ns0:row r="808" ht="15.75" customHeight="1"/>
    <ns0:row r="809" ht="15.75" customHeight="1"/>
    <ns0:row r="810" ht="15.75" customHeight="1"/>
    <ns0:row r="811" ht="15.75" customHeight="1"/>
    <ns0:row r="812" ht="15.75" customHeight="1"/>
    <ns0:row r="813" ht="15.75" customHeight="1"/>
    <ns0:row r="814" ht="15.75" customHeight="1"/>
    <ns0:row r="815" ht="15.75" customHeight="1"/>
    <ns0:row r="816" ht="15.75" customHeight="1"/>
    <ns0:row r="817" ht="15.75" customHeight="1"/>
    <ns0:row r="818" ht="15.75" customHeight="1"/>
    <ns0:row r="819" ht="15.75" customHeight="1"/>
    <ns0:row r="820" ht="15.75" customHeight="1"/>
    <ns0:row r="821" ht="15.75" customHeight="1"/>
    <ns0:row r="822" ht="15.75" customHeight="1"/>
    <ns0:row r="823" ht="15.75" customHeight="1"/>
    <ns0:row r="824" ht="15.75" customHeight="1"/>
    <ns0:row r="825" ht="15.75" customHeight="1"/>
    <ns0:row r="826" ht="15.75" customHeight="1"/>
    <ns0:row r="827" ht="15.75" customHeight="1"/>
    <ns0:row r="828" ht="15.75" customHeight="1"/>
    <ns0:row r="829" ht="15.75" customHeight="1"/>
    <ns0:row r="830" ht="15.75" customHeight="1"/>
    <ns0:row r="831" ht="15.75" customHeight="1"/>
    <ns0:row r="832" ht="15.75" customHeight="1"/>
    <ns0:row r="833" ht="15.75" customHeight="1"/>
    <ns0:row r="834" ht="15.75" customHeight="1"/>
    <ns0:row r="835" ht="15.75" customHeight="1"/>
    <ns0:row r="836" ht="15.75" customHeight="1"/>
    <ns0:row r="837" ht="15.75" customHeight="1"/>
    <ns0:row r="838" ht="15.75" customHeight="1"/>
    <ns0:row r="839" ht="15.75" customHeight="1"/>
    <ns0:row r="840" ht="15.75" customHeight="1"/>
    <ns0:row r="841" ht="15.75" customHeight="1"/>
    <ns0:row r="842" ht="15.75" customHeight="1"/>
    <ns0:row r="843" ht="15.75" customHeight="1"/>
    <ns0:row r="844" ht="15.75" customHeight="1"/>
    <ns0:row r="845" ht="15.75" customHeight="1"/>
    <ns0:row r="846" ht="15.75" customHeight="1"/>
    <ns0:row r="847" ht="15.75" customHeight="1"/>
    <ns0:row r="848" ht="15.75" customHeight="1"/>
    <ns0:row r="849" ht="15.75" customHeight="1"/>
    <ns0:row r="850" ht="15.75" customHeight="1"/>
    <ns0:row r="851" ht="15.75" customHeight="1"/>
    <ns0:row r="852" ht="15.75" customHeight="1"/>
    <ns0:row r="853" ht="15.75" customHeight="1"/>
    <ns0:row r="854" ht="15.75" customHeight="1"/>
    <ns0:row r="855" ht="15.75" customHeight="1"/>
    <ns0:row r="856" ht="15.75" customHeight="1"/>
    <ns0:row r="857" ht="15.75" customHeight="1"/>
    <ns0:row r="858" ht="15.75" customHeight="1"/>
    <ns0:row r="859" ht="15.75" customHeight="1"/>
    <ns0:row r="860" ht="15.75" customHeight="1"/>
    <ns0:row r="861" ht="15.75" customHeight="1"/>
    <ns0:row r="862" ht="15.75" customHeight="1"/>
    <ns0:row r="863" ht="15.75" customHeight="1"/>
    <ns0:row r="864" ht="15.75" customHeight="1"/>
    <ns0:row r="865" ht="15.75" customHeight="1"/>
    <ns0:row r="866" ht="15.75" customHeight="1"/>
    <ns0:row r="867" ht="15.75" customHeight="1"/>
    <ns0:row r="868" ht="15.75" customHeight="1"/>
    <ns0:row r="869" ht="15.75" customHeight="1"/>
    <ns0:row r="870" ht="15.75" customHeight="1"/>
    <ns0:row r="871" ht="15.75" customHeight="1"/>
    <ns0:row r="872" ht="15.75" customHeight="1"/>
    <ns0:row r="873" ht="15.75" customHeight="1"/>
    <ns0:row r="874" ht="15.75" customHeight="1"/>
    <ns0:row r="875" ht="15.75" customHeight="1"/>
    <ns0:row r="876" ht="15.75" customHeight="1"/>
    <ns0:row r="877" ht="15.75" customHeight="1"/>
    <ns0:row r="878" ht="15.75" customHeight="1"/>
    <ns0:row r="879" ht="15.75" customHeight="1"/>
    <ns0:row r="880" ht="15.75" customHeight="1"/>
    <ns0:row r="881" ht="15.75" customHeight="1"/>
    <ns0:row r="882" ht="15.75" customHeight="1"/>
    <ns0:row r="883" ht="15.75" customHeight="1"/>
    <ns0:row r="884" ht="15.75" customHeight="1"/>
    <ns0:row r="885" ht="15.75" customHeight="1"/>
    <ns0:row r="886" ht="15.75" customHeight="1"/>
    <ns0:row r="887" ht="15.75" customHeight="1"/>
    <ns0:row r="888" ht="15.75" customHeight="1"/>
    <ns0:row r="889" ht="15.75" customHeight="1"/>
    <ns0:row r="890" ht="15.75" customHeight="1"/>
    <ns0:row r="891" ht="15.75" customHeight="1"/>
    <ns0:row r="892" ht="15.75" customHeight="1"/>
    <ns0:row r="893" ht="15.75" customHeight="1"/>
    <ns0:row r="894" ht="15.75" customHeight="1"/>
    <ns0:row r="895" ht="15.75" customHeight="1"/>
    <ns0:row r="896" ht="15.75" customHeight="1"/>
    <ns0:row r="897" ht="15.75" customHeight="1"/>
    <ns0:row r="898" ht="15.75" customHeight="1"/>
    <ns0:row r="899" ht="15.75" customHeight="1"/>
    <ns0:row r="900" ht="15.75" customHeight="1"/>
    <ns0:row r="901" ht="15.75" customHeight="1"/>
    <ns0:row r="902" ht="15.75" customHeight="1"/>
    <ns0:row r="903" ht="15.75" customHeight="1"/>
    <ns0:row r="904" ht="15.75" customHeight="1"/>
    <ns0:row r="905" ht="15.75" customHeight="1"/>
    <ns0:row r="906" ht="15.75" customHeight="1"/>
    <ns0:row r="907" ht="15.75" customHeight="1"/>
    <ns0:row r="908" ht="15.75" customHeight="1"/>
    <ns0:row r="909" ht="15.75" customHeight="1"/>
    <ns0:row r="910" ht="15.75" customHeight="1"/>
    <ns0:row r="911" ht="15.75" customHeight="1"/>
    <ns0:row r="912" ht="15.75" customHeight="1"/>
    <ns0:row r="913" ht="15.75" customHeight="1"/>
    <ns0:row r="914" ht="15.75" customHeight="1"/>
    <ns0:row r="915" ht="15.75" customHeight="1"/>
    <ns0:row r="916" ht="15.75" customHeight="1"/>
    <ns0:row r="917" ht="15.75" customHeight="1"/>
    <ns0:row r="918" ht="15.75" customHeight="1"/>
    <ns0:row r="919" ht="15.75" customHeight="1"/>
    <ns0:row r="920" ht="15.75" customHeight="1"/>
    <ns0:row r="921" ht="15.75" customHeight="1"/>
    <ns0:row r="922" ht="15.75" customHeight="1"/>
    <ns0:row r="923" ht="15.75" customHeight="1"/>
    <ns0:row r="924" ht="15.75" customHeight="1"/>
    <ns0:row r="925" ht="15.75" customHeight="1"/>
    <ns0:row r="926" ht="15.75" customHeight="1"/>
    <ns0:row r="927" ht="15.75" customHeight="1"/>
    <ns0:row r="928" ht="15.75" customHeight="1"/>
    <ns0:row r="929" ht="15.75" customHeight="1"/>
    <ns0:row r="930" ht="15.75" customHeight="1"/>
    <ns0:row r="931" ht="15.75" customHeight="1"/>
    <ns0:row r="932" ht="15.75" customHeight="1"/>
    <ns0:row r="933" ht="15.75" customHeight="1"/>
    <ns0:row r="934" ht="15.75" customHeight="1"/>
    <ns0:row r="935" ht="15.75" customHeight="1"/>
    <ns0:row r="936" ht="15.75" customHeight="1"/>
    <ns0:row r="937" ht="15.75" customHeight="1"/>
    <ns0:row r="938" ht="15.75" customHeight="1"/>
    <ns0:row r="939" ht="15.75" customHeight="1"/>
    <ns0:row r="940" ht="15.75" customHeight="1"/>
    <ns0:row r="941" ht="15.75" customHeight="1"/>
    <ns0:row r="942" ht="15.75" customHeight="1"/>
    <ns0:row r="943" ht="15.75" customHeight="1"/>
    <ns0:row r="944" ht="15.75" customHeight="1"/>
    <ns0:row r="945" ht="15.75" customHeight="1"/>
    <ns0:row r="946" ht="15.75" customHeight="1"/>
    <ns0:row r="947" ht="15.75" customHeight="1"/>
    <ns0:row r="948" ht="15.75" customHeight="1"/>
    <ns0:row r="949" ht="15.75" customHeight="1"/>
    <ns0:row r="950" ht="15.75" customHeight="1"/>
    <ns0:row r="951" ht="15.75" customHeight="1"/>
    <ns0:row r="952" ht="15.75" customHeight="1"/>
    <ns0:row r="953" ht="15.75" customHeight="1"/>
    <ns0:row r="954" ht="15.75" customHeight="1"/>
    <ns0:row r="955" ht="15.75" customHeight="1"/>
    <ns0:row r="956" ht="15.75" customHeight="1"/>
    <ns0:row r="957" ht="15.75" customHeight="1"/>
    <ns0:row r="958" ht="15.75" customHeight="1"/>
    <ns0:row r="959" ht="15.75" customHeight="1"/>
    <ns0:row r="960" ht="15.75" customHeight="1"/>
    <ns0:row r="961" ht="15.75" customHeight="1"/>
    <ns0:row r="962" ht="15.75" customHeight="1"/>
    <ns0:row r="963" ht="15.75" customHeight="1"/>
    <ns0:row r="964" ht="15.75" customHeight="1"/>
    <ns0:row r="965" ht="15.75" customHeight="1"/>
    <ns0:row r="966" ht="15.75" customHeight="1"/>
    <ns0:row r="967" ht="15.75" customHeight="1"/>
    <ns0:row r="968" ht="15.75" customHeight="1"/>
    <ns0:row r="969" ht="15.75" customHeight="1"/>
    <ns0:row r="970" ht="15.75" customHeight="1"/>
    <ns0:row r="971" ht="15.75" customHeight="1"/>
    <ns0:row r="972" ht="15.75" customHeight="1"/>
    <ns0:row r="973" ht="15.75" customHeight="1"/>
    <ns0:row r="974" ht="15.75" customHeight="1"/>
    <ns0:row r="975" ht="15.75" customHeight="1"/>
    <ns0:row r="976" ht="15.75" customHeight="1"/>
    <ns0:row r="977" ht="15.75" customHeight="1"/>
    <ns0:row r="978" ht="15.75" customHeight="1"/>
    <ns0:row r="979" ht="15.75" customHeight="1"/>
    <ns0:row r="980" ht="15.75" customHeight="1"/>
    <ns0:row r="981" ht="15.75" customHeight="1"/>
    <ns0:row r="982" ht="15.75" customHeight="1"/>
    <ns0:row r="983" ht="15.75" customHeight="1"/>
    <ns0:row r="984" ht="15.75" customHeight="1"/>
    <ns0:row r="985" ht="15.75" customHeight="1"/>
    <ns0:row r="986" ht="15.75" customHeight="1"/>
    <ns0:row r="987" ht="15.75" customHeight="1"/>
    <ns0:row r="988" ht="15.75" customHeight="1"/>
    <ns0:row r="989" ht="15.75" customHeight="1"/>
    <ns0:row r="990" ht="15.75" customHeight="1"/>
    <ns0:row r="991" ht="15.75" customHeight="1"/>
    <ns0:row r="992" ht="15.75" customHeight="1"/>
    <ns0:row r="993" ht="15.75" customHeight="1"/>
    <ns0:row r="994" ht="15.75" customHeight="1"/>
    <ns0:row r="995" ht="15.75" customHeight="1"/>
    <ns0:row r="996" ht="15.75" customHeight="1"/>
    <ns0:row r="997" ht="15.75" customHeight="1"/>
    <ns0:row r="998" ht="15.75" customHeight="1"/>
    <ns0:row r="999" ht="15.75" customHeight="1"/>
    <ns0:row r="1000" ht="15.75" customHeight="1"/>
  </ns0:sheetData>
  <ns0:dataValidations count="1">
    <ns0:dataValidation type="list" allowBlank="1" sqref="E5:E104">
      <ns0:formula1>"Review reuse,Review existing,Review existing + new,Review new cue,Reuse confirmed,New cue confirmed,No audio needed"</ns0:formula1>
    </ns0:dataValidation>
  </ns0:dataValidations>
  <ns0:pageMargins left="0.7" right="0.7" top="0.75" bottom="0.75" header="0.3" footer="0.3"/>
  <ns0:tableParts count="1">
    <ns0:tablePart ns1:id="Rec56e8f37b824bdf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tabColor rgb="FFD5A054"/>
  </ns0:sheetPr>
  <ns0:sheetViews>
    <ns0:sheetView showGridLines="0" workbookViewId="0">
      <ns0:pane xSplit="1" ySplit="4" topLeftCell="B5" activePane="bottomRight" state="frozen"/>
    </ns0:sheetView>
  </ns0:sheetViews>
  <ns0:sheetFormatPr defaultColWidth="12.630000114440918" defaultRowHeight="15"/>
  <ns0:cols>
    <ns0:col min="1" max="1" width="12" hidden="0" customWidth="1"/>
    <ns0:col min="2" max="2" width="34" hidden="0" customWidth="1"/>
    <ns0:col min="3" max="3" width="15" hidden="0" customWidth="1"/>
    <ns0:col min="4" max="4" width="16" hidden="0" customWidth="1"/>
    <ns0:col min="5" max="5" width="12" hidden="0" customWidth="1"/>
    <ns0:col min="6" max="6" width="9" hidden="0" customWidth="1"/>
    <ns0:col min="7" max="7" width="13" hidden="0" customWidth="1"/>
    <ns0:col min="8" max="8" width="14" hidden="1" customWidth="1"/>
    <ns0:col min="9" max="9" width="14" hidden="1" customWidth="1"/>
    <ns0:col min="10" max="10" width="58" hidden="1" customWidth="1"/>
    <ns0:col min="11" max="11" width="8.630000114440918" customWidth="1"/>
    <ns0:col min="12" max="12" width="8.630000114440918" customWidth="1"/>
    <ns0:col min="13" max="13" width="8.630000114440918" customWidth="1"/>
    <ns0:col min="14" max="14" width="8.630000114440918" customWidth="1"/>
    <ns0:col min="15" max="15" width="8.630000114440918" customWidth="1"/>
    <ns0:col min="16" max="16" width="8.630000114440918" customWidth="1"/>
    <ns0:col min="17" max="17" width="8.630000114440918" customWidth="1"/>
    <ns0:col min="18" max="18" width="8.630000114440918" customWidth="1"/>
    <ns0:col min="19" max="19" width="8.630000114440918" customWidth="1"/>
    <ns0:col min="20" max="20" width="8.630000114440918" customWidth="1"/>
    <ns0:col min="21" max="21" width="8.630000114440918" customWidth="1"/>
    <ns0:col min="22" max="22" width="8.630000114440918" customWidth="1"/>
    <ns0:col min="23" max="23" width="8.630000114440918" customWidth="1"/>
    <ns0:col min="24" max="24" width="8.630000114440918" customWidth="1"/>
    <ns0:col min="25" max="25" width="8.630000114440918" customWidth="1"/>
    <ns0:col min="26" max="26" width="8.630000114440918" customWidth="1"/>
  </ns0:cols>
  <ns0:sheetData>
    <ns0:row r="1" ht="40" customHeight="1">
      <ns0:c r="A1" s="108" t="str">
        <ns0:v>Milestones</ns0:v>
      </ns0:c>
      <ns0:c r="B1" s="106"/>
      <ns0:c r="C1" s="106"/>
      <ns0:c r="D1" s="106"/>
      <ns0:c r="E1" s="106"/>
      <ns0:c r="F1" s="106"/>
      <ns0:c r="G1" s="106"/>
      <ns0:c r="H1" s="106"/>
      <ns0:c r="I1" s="106"/>
      <ns0:c r="J1" s="107"/>
    </ns0:row>
    <ns0:row r="2" ht="26" customHeight="1">
      <ns0:c r="A2" s="109" t="str">
        <ns0:v>Plan a small batch. Dates and owners are yours to choose.</ns0:v>
      </ns0:c>
      <ns0:c r="B2" s="61"/>
      <ns0:c r="C2" s="61"/>
      <ns0:c r="D2" s="61"/>
      <ns0:c r="E2" s="61"/>
      <ns0:c r="F2" s="61"/>
      <ns0:c r="G2" s="61"/>
      <ns0:c r="H2" s="61"/>
      <ns0:c r="I2" s="61"/>
      <ns0:c r="J2" s="62"/>
    </ns0:row>
    <ns0:row r="3" ht="10" customHeight="1">
      <ns0:c r="A3" s="60"/>
      <ns0:c r="B3" s="61"/>
      <ns0:c r="C3" s="61"/>
      <ns0:c r="D3" s="61"/>
      <ns0:c r="E3" s="61"/>
      <ns0:c r="F3" s="61"/>
      <ns0:c r="G3" s="61"/>
      <ns0:c r="H3" s="61"/>
      <ns0:c r="I3" s="61"/>
      <ns0:c r="J3" s="62"/>
    </ns0:row>
    <ns0:row r="4" ht="34" customHeight="1">
      <ns0:c r="A4" s="102" t="s">
        <ns0:v>6</ns0:v>
      </ns0:c>
      <ns0:c r="B4" s="103" t="s">
        <ns0:v>308</ns0:v>
      </ns0:c>
      <ns0:c r="C4" s="103" t="s">
        <ns0:v>309</ns0:v>
      </ns0:c>
      <ns0:c r="D4" s="103" t="s">
        <ns0:v>5</ns0:v>
      </ns0:c>
      <ns0:c r="E4" s="103" t="s">
        <ns0:v>310</ns0:v>
      </ns0:c>
      <ns0:c r="F4" s="103" t="s">
        <ns0:v>311</ns0:v>
      </ns0:c>
      <ns0:c r="G4" s="103" t="s">
        <ns0:v>312</ns0:v>
      </ns0:c>
      <ns0:c r="H4" s="103" t="s">
        <ns0:v>8</ns0:v>
      </ns0:c>
      <ns0:c r="I4" s="103" t="s">
        <ns0:v>9</ns0:v>
      </ns0:c>
      <ns0:c r="J4" s="104" t="s">
        <ns0:v>313</ns0:v>
      </ns0:c>
    </ns0:row>
    <ns0:row r="5" ht="70" customHeight="1">
      <ns0:c r="A5" s="136" t="s">
        <ns0:v>85</ns0:v>
      </ns0:c>
      <ns0:c r="B5" s="129" t="s">
        <ns0:v>314</ns0:v>
      </ns0:c>
      <ns0:c r="C5" s="142"/>
      <ns0:c r="D5" s="143"/>
      <ns0:c r="E5" s="91" t="n">
        <ns0:f>COUNTIF('Sound Effects Spreadsheet'!$G$5:$G$204,A5)</ns0:f>
        <ns0:v>12</ns0:v>
      </ns0:c>
      <ns0:c r="F5" s="91" t="n">
        <ns0:f>COUNTIFS('Sound Effects Spreadsheet'!$G$5:$G$204,A5,'Sound Effects Spreadsheet'!$E$5:$E$204,"Done")</ns0:f>
        <ns0:v>0</ns0:v>
      </ns0:c>
      <ns0:c r="G5" s="146" t="n">
        <ns0:f t="shared" ref="G5:G7" si="1">IF(E5=0,"",F5/E5)</ns0:f>
        <ns0:v>0</ns0:v>
      </ns0:c>
      <ns0:c r="H5" s="93" t="str">
        <ns0:f>IF(COUNTIFS('Sound Effects Spreadsheet'!$G$5:$G$204,A5,'Sound Effects Spreadsheet'!$I$5:$I$204,"&lt;&gt;")=0,"",SUMIF('Sound Effects Spreadsheet'!$G$5:$G$204,A5,'Sound Effects Spreadsheet'!$I$5:$I$204))</ns0:f>
      </ns0:c>
      <ns0:c r="I5" s="93" t="str">
        <ns0:f>IF(COUNTIFS('Sound Effects Spreadsheet'!$G$5:$G$204,A5,'Sound Effects Spreadsheet'!$J$5:$J$204,"&lt;&gt;")=0,"",SUMIF('Sound Effects Spreadsheet'!$G$5:$G$204,A5,'Sound Effects Spreadsheet'!$J$5:$J$204))</ns0:f>
      </ns0:c>
      <ns0:c r="J5" s="95" t="s">
        <ns0:v>315</ns0:v>
      </ns0:c>
    </ns0:row>
    <ns0:row r="6" ht="70" customHeight="1">
      <ns0:c r="A6" s="137" t="s">
        <ns0:v>25</ns0:v>
      </ns0:c>
      <ns0:c r="B6" s="130" t="s">
        <ns0:v>316</ns0:v>
      </ns0:c>
      <ns0:c r="C6" s="142"/>
      <ns0:c r="D6" s="143"/>
      <ns0:c r="E6" s="79" t="n">
        <ns0:f>COUNTIF('Sound Effects Spreadsheet'!$G$5:$G$204,A6)</ns0:f>
        <ns0:v>18</ns0:v>
      </ns0:c>
      <ns0:c r="F6" s="79" t="n">
        <ns0:f>COUNTIFS('Sound Effects Spreadsheet'!$G$5:$G$204,A6,'Sound Effects Spreadsheet'!$E$5:$E$204,"Done")</ns0:f>
        <ns0:v>0</ns0:v>
      </ns0:c>
      <ns0:c r="G6" s="147">
        <ns0:f t="shared" si="1"/>
        <ns0:v>0</ns0:v>
      </ns0:c>
      <ns0:c r="H6" s="81" t="str">
        <ns0:f>IF(COUNTIFS('Sound Effects Spreadsheet'!$G$5:$G$204,A6,'Sound Effects Spreadsheet'!$I$5:$I$204,"&lt;&gt;")=0,"",SUMIF('Sound Effects Spreadsheet'!$G$5:$G$204,A6,'Sound Effects Spreadsheet'!$I$5:$I$204))</ns0:f>
      </ns0:c>
      <ns0:c r="I6" s="81" t="str">
        <ns0:f>IF(COUNTIFS('Sound Effects Spreadsheet'!$G$5:$G$204,A6,'Sound Effects Spreadsheet'!$J$5:$J$204,"&lt;&gt;")=0,"",SUMIF('Sound Effects Spreadsheet'!$G$5:$G$204,A6,'Sound Effects Spreadsheet'!$J$5:$J$204))</ns0:f>
      </ns0:c>
      <ns0:c r="J6" s="83" t="s">
        <ns0:v>317</ns0:v>
      </ns0:c>
    </ns0:row>
    <ns0:row r="7" ht="70" customHeight="1">
      <ns0:c r="A7" s="138" t="s">
        <ns0:v>318</ns0:v>
      </ns0:c>
      <ns0:c r="B7" s="141" t="s">
        <ns0:v>319</ns0:v>
      </ns0:c>
      <ns0:c r="C7" s="144"/>
      <ns0:c r="D7" s="145"/>
      <ns0:c r="E7" s="111" t="n">
        <ns0:f>COUNTIF('Sound Effects Spreadsheet'!$G$5:$G$204,A7)</ns0:f>
        <ns0:v>0</ns0:v>
      </ns0:c>
      <ns0:c r="F7" s="111" t="n">
        <ns0:f>COUNTIFS('Sound Effects Spreadsheet'!$G$5:$G$204,A7,'Sound Effects Spreadsheet'!$E$5:$E$204,"Done")</ns0:f>
        <ns0:v>0</ns0:v>
      </ns0:c>
      <ns0:c r="G7" s="148" t="str">
        <ns0:f t="shared" si="1"/>
      </ns0:c>
      <ns0:c r="H7" s="126" t="str">
        <ns0:f>IF(COUNTIFS('Sound Effects Spreadsheet'!$G$5:$G$204,A7,'Sound Effects Spreadsheet'!$I$5:$I$204,"&lt;&gt;")=0,"",SUMIF('Sound Effects Spreadsheet'!$G$5:$G$204,A7,'Sound Effects Spreadsheet'!$I$5:$I$204))</ns0:f>
      </ns0:c>
      <ns0:c r="I7" s="126" t="str">
        <ns0:f>IF(COUNTIFS('Sound Effects Spreadsheet'!$G$5:$G$204,A7,'Sound Effects Spreadsheet'!$J$5:$J$204,"&lt;&gt;")=0,"",SUMIF('Sound Effects Spreadsheet'!$G$5:$G$204,A7,'Sound Effects Spreadsheet'!$J$5:$J$204))</ns0:f>
      </ns0:c>
      <ns0:c r="J7" s="112" t="s">
        <ns0:v>320</ns0:v>
      </ns0:c>
    </ns0:row>
    <ns0:row r="8">
      <ns0:c r="A8" s="4"/>
      <ns0:c r="B8" s="4"/>
      <ns0:c r="C8" s="4"/>
      <ns0:c r="D8" s="4"/>
      <ns0:c r="E8" s="4"/>
      <ns0:c r="F8" s="4"/>
      <ns0:c r="G8" s="4"/>
      <ns0:c r="H8" s="4"/>
      <ns0:c r="I8" s="4"/>
      <ns0:c r="J8" s="4"/>
    </ns0:row>
    <ns0:row r="9">
      <ns0:c r="A9" s="4"/>
      <ns0:c r="B9" s="4"/>
      <ns0:c r="C9" s="4"/>
      <ns0:c r="D9" s="4"/>
      <ns0:c r="E9" s="4"/>
      <ns0:c r="F9" s="4"/>
      <ns0:c r="G9" s="4"/>
      <ns0:c r="H9" s="4"/>
      <ns0:c r="I9" s="4"/>
      <ns0:c r="J9" s="4"/>
    </ns0:row>
    <ns0:row r="10" ht="55.5" customHeight="1">
      <ns0:c r="A10" s="149" t="str">
        <ns0:v>Notes</ns0:v>
      </ns0:c>
      <ns0:c r="B10" s="150" t="str">
        <ns0:v>Hours stay blank until you enter estimates or actual time.</ns0:v>
      </ns0:c>
      <ns0:c r="C10" s="19"/>
      <ns0:c r="D10" s="19"/>
      <ns0:c r="E10" s="19"/>
      <ns0:c r="F10" s="19"/>
      <ns0:c r="G10" s="19"/>
      <ns0:c r="H10" s="19"/>
      <ns0:c r="I10" s="19"/>
      <ns0:c r="J10" s="19"/>
    </ns0:row>
    <ns0:row r="11" ht="55.5" customHeight="1">
      <ns0:c r="A11" s="151"/>
      <ns0:c r="B11" s="150" t="str">
        <ns0:v>Move fixes into M3. Finish a task after an in-game listening test.</ns0:v>
      </ns0:c>
      <ns0:c r="C11" s="19"/>
      <ns0:c r="D11" s="19"/>
      <ns0:c r="E11" s="19"/>
      <ns0:c r="F11" s="19"/>
      <ns0:c r="G11" s="19"/>
      <ns0:c r="H11" s="19"/>
      <ns0:c r="I11" s="19"/>
      <ns0:c r="J11" s="19"/>
    </ns0:row>
    <ns0:row r="12">
      <ns0:c r="A12" s="4"/>
      <ns0:c r="B12" s="4"/>
      <ns0:c r="C12" s="4"/>
      <ns0:c r="D12" s="4"/>
      <ns0:c r="E12" s="4"/>
      <ns0:c r="F12" s="4"/>
      <ns0:c r="G12" s="4"/>
      <ns0:c r="H12" s="4"/>
      <ns0:c r="I12" s="4"/>
      <ns0:c r="J12" s="4"/>
    </ns0:row>
    <ns0:row r="21" ht="15.75" customHeight="1"/>
    <ns0:row r="22" ht="15.75" customHeight="1"/>
    <ns0:row r="23" ht="15.75" customHeight="1"/>
    <ns0:row r="24" ht="15.75" customHeight="1"/>
    <ns0:row r="25" ht="15.75" customHeight="1"/>
    <ns0:row r="26" ht="15.75" customHeight="1"/>
    <ns0:row r="27" ht="15.75" customHeight="1"/>
    <ns0:row r="28" ht="15.75" customHeight="1"/>
    <ns0:row r="29" ht="15.75" customHeight="1"/>
    <ns0:row r="30" ht="15.75" customHeight="1"/>
    <ns0:row r="31" ht="15.75" customHeight="1"/>
    <ns0:row r="32" ht="15.75" customHeight="1"/>
    <ns0:row r="33" ht="15.75" customHeight="1"/>
    <ns0:row r="34" ht="15.75" customHeight="1"/>
    <ns0:row r="35" ht="15.75" customHeight="1"/>
    <ns0:row r="36" ht="15.75" customHeight="1"/>
    <ns0:row r="37" ht="15.75" customHeight="1"/>
    <ns0:row r="38" ht="15.75" customHeight="1"/>
    <ns0:row r="39" ht="15.75" customHeight="1"/>
    <ns0:row r="40" ht="15.75" customHeight="1"/>
    <ns0:row r="41" ht="15.75" customHeight="1"/>
    <ns0:row r="42" ht="15.75" customHeight="1"/>
    <ns0:row r="43" ht="15.75" customHeight="1"/>
    <ns0:row r="44" ht="15.75" customHeight="1"/>
    <ns0:row r="45" ht="15.75" customHeight="1"/>
    <ns0:row r="46" ht="15.75" customHeight="1"/>
    <ns0:row r="47" ht="15.75" customHeight="1"/>
    <ns0:row r="48" ht="15.75" customHeight="1"/>
    <ns0:row r="49" ht="15.75" customHeight="1"/>
    <ns0:row r="50" ht="15.75" customHeight="1"/>
    <ns0:row r="51" ht="15.75" customHeight="1"/>
    <ns0:row r="52" ht="15.75" customHeight="1"/>
    <ns0:row r="53" ht="15.75" customHeight="1"/>
    <ns0:row r="54" ht="15.75" customHeight="1"/>
    <ns0:row r="55" ht="15.75" customHeight="1"/>
    <ns0:row r="56" ht="15.75" customHeight="1"/>
    <ns0:row r="57" ht="15.75" customHeight="1"/>
    <ns0:row r="58" ht="15.75" customHeight="1"/>
    <ns0:row r="59" ht="15.75" customHeight="1"/>
    <ns0:row r="60" ht="15.75" customHeight="1"/>
    <ns0:row r="61" ht="15.75" customHeight="1"/>
    <ns0:row r="62" ht="15.75" customHeight="1"/>
    <ns0:row r="63" ht="15.75" customHeight="1"/>
    <ns0:row r="64" ht="15.75" customHeight="1"/>
    <ns0:row r="65" ht="15.75" customHeight="1"/>
    <ns0:row r="66" ht="15.75" customHeight="1"/>
    <ns0:row r="67" ht="15.75" customHeight="1"/>
    <ns0:row r="68" ht="15.75" customHeight="1"/>
    <ns0:row r="69" ht="15.75" customHeight="1"/>
    <ns0:row r="70" ht="15.75" customHeight="1"/>
    <ns0:row r="71" ht="15.75" customHeight="1"/>
    <ns0:row r="72" ht="15.75" customHeight="1"/>
    <ns0:row r="73" ht="15.75" customHeight="1"/>
    <ns0:row r="74" ht="15.75" customHeight="1"/>
    <ns0:row r="75" ht="15.75" customHeight="1"/>
    <ns0:row r="76" ht="15.75" customHeight="1"/>
    <ns0:row r="77" ht="15.75" customHeight="1"/>
    <ns0:row r="78" ht="15.75" customHeight="1"/>
    <ns0:row r="79" ht="15.75" customHeight="1"/>
    <ns0:row r="80" ht="15.75" customHeight="1"/>
    <ns0:row r="81" ht="15.75" customHeight="1"/>
    <ns0:row r="82" ht="15.75" customHeight="1"/>
    <ns0:row r="83" ht="15.75" customHeight="1"/>
    <ns0:row r="84" ht="15.75" customHeight="1"/>
    <ns0:row r="85" ht="15.75" customHeight="1"/>
    <ns0:row r="86" ht="15.75" customHeight="1"/>
    <ns0:row r="87" ht="15.75" customHeight="1"/>
    <ns0:row r="88" ht="15.75" customHeight="1"/>
    <ns0:row r="89" ht="15.75" customHeight="1"/>
    <ns0:row r="90" ht="15.75" customHeight="1"/>
    <ns0:row r="91" ht="15.75" customHeight="1"/>
    <ns0:row r="92" ht="15.75" customHeight="1"/>
    <ns0:row r="93" ht="15.75" customHeight="1"/>
    <ns0:row r="94" ht="15.75" customHeight="1"/>
    <ns0:row r="95" ht="15.75" customHeight="1"/>
    <ns0:row r="96" ht="15.75" customHeight="1"/>
    <ns0:row r="97" ht="15.75" customHeight="1"/>
    <ns0:row r="98" ht="15.75" customHeight="1"/>
    <ns0:row r="99" ht="15.75" customHeight="1"/>
    <ns0:row r="100" ht="15.75" customHeight="1"/>
    <ns0:row r="101" ht="15.75" customHeight="1"/>
    <ns0:row r="102" ht="15.75" customHeight="1"/>
    <ns0:row r="103" ht="15.75" customHeight="1"/>
    <ns0:row r="104" ht="15.75" customHeight="1"/>
    <ns0:row r="105" ht="15.75" customHeight="1"/>
    <ns0:row r="106" ht="15.75" customHeight="1"/>
    <ns0:row r="107" ht="15.75" customHeight="1"/>
    <ns0:row r="108" ht="15.75" customHeight="1"/>
    <ns0:row r="109" ht="15.75" customHeight="1"/>
    <ns0:row r="110" ht="15.75" customHeight="1"/>
    <ns0:row r="111" ht="15.75" customHeight="1"/>
    <ns0:row r="112" ht="15.75" customHeight="1"/>
    <ns0:row r="113" ht="15.75" customHeight="1"/>
    <ns0:row r="114" ht="15.75" customHeight="1"/>
    <ns0:row r="115" ht="15.75" customHeight="1"/>
    <ns0:row r="116" ht="15.75" customHeight="1"/>
    <ns0:row r="117" ht="15.75" customHeight="1"/>
    <ns0:row r="118" ht="15.75" customHeight="1"/>
    <ns0:row r="119" ht="15.75" customHeight="1"/>
    <ns0:row r="120" ht="15.75" customHeight="1"/>
    <ns0:row r="121" ht="15.75" customHeight="1"/>
    <ns0:row r="122" ht="15.75" customHeight="1"/>
    <ns0:row r="123" ht="15.75" customHeight="1"/>
    <ns0:row r="124" ht="15.75" customHeight="1"/>
    <ns0:row r="125" ht="15.75" customHeight="1"/>
    <ns0:row r="126" ht="15.75" customHeight="1"/>
    <ns0:row r="127" ht="15.75" customHeight="1"/>
    <ns0:row r="128" ht="15.75" customHeight="1"/>
    <ns0:row r="129" ht="15.75" customHeight="1"/>
    <ns0:row r="130" ht="15.75" customHeight="1"/>
    <ns0:row r="131" ht="15.75" customHeight="1"/>
    <ns0:row r="132" ht="15.75" customHeight="1"/>
    <ns0:row r="133" ht="15.75" customHeight="1"/>
    <ns0:row r="134" ht="15.75" customHeight="1"/>
    <ns0:row r="135" ht="15.75" customHeight="1"/>
    <ns0:row r="136" ht="15.75" customHeight="1"/>
    <ns0:row r="137" ht="15.75" customHeight="1"/>
    <ns0:row r="138" ht="15.75" customHeight="1"/>
    <ns0:row r="139" ht="15.75" customHeight="1"/>
    <ns0:row r="140" ht="15.75" customHeight="1"/>
    <ns0:row r="141" ht="15.75" customHeight="1"/>
    <ns0:row r="142" ht="15.75" customHeight="1"/>
    <ns0:row r="143" ht="15.75" customHeight="1"/>
    <ns0:row r="144" ht="15.75" customHeight="1"/>
    <ns0:row r="145" ht="15.75" customHeight="1"/>
    <ns0:row r="146" ht="15.75" customHeight="1"/>
    <ns0:row r="147" ht="15.75" customHeight="1"/>
    <ns0:row r="148" ht="15.75" customHeight="1"/>
    <ns0:row r="149" ht="15.75" customHeight="1"/>
    <ns0:row r="150" ht="15.75" customHeight="1"/>
    <ns0:row r="151" ht="15.75" customHeight="1"/>
    <ns0:row r="152" ht="15.75" customHeight="1"/>
    <ns0:row r="153" ht="15.75" customHeight="1"/>
    <ns0:row r="154" ht="15.75" customHeight="1"/>
    <ns0:row r="155" ht="15.75" customHeight="1"/>
    <ns0:row r="156" ht="15.75" customHeight="1"/>
    <ns0:row r="157" ht="15.75" customHeight="1"/>
    <ns0:row r="158" ht="15.75" customHeight="1"/>
    <ns0:row r="159" ht="15.75" customHeight="1"/>
    <ns0:row r="160" ht="15.75" customHeight="1"/>
    <ns0:row r="161" ht="15.75" customHeight="1"/>
    <ns0:row r="162" ht="15.75" customHeight="1"/>
    <ns0:row r="163" ht="15.75" customHeight="1"/>
    <ns0:row r="164" ht="15.75" customHeight="1"/>
    <ns0:row r="165" ht="15.75" customHeight="1"/>
    <ns0:row r="166" ht="15.75" customHeight="1"/>
    <ns0:row r="167" ht="15.75" customHeight="1"/>
    <ns0:row r="168" ht="15.75" customHeight="1"/>
    <ns0:row r="169" ht="15.75" customHeight="1"/>
    <ns0:row r="170" ht="15.75" customHeight="1"/>
    <ns0:row r="171" ht="15.75" customHeight="1"/>
    <ns0:row r="172" ht="15.75" customHeight="1"/>
    <ns0:row r="173" ht="15.75" customHeight="1"/>
    <ns0:row r="174" ht="15.75" customHeight="1"/>
    <ns0:row r="175" ht="15.75" customHeight="1"/>
    <ns0:row r="176" ht="15.75" customHeight="1"/>
    <ns0:row r="177" ht="15.75" customHeight="1"/>
    <ns0:row r="178" ht="15.75" customHeight="1"/>
    <ns0:row r="179" ht="15.75" customHeight="1"/>
    <ns0:row r="180" ht="15.75" customHeight="1"/>
    <ns0:row r="181" ht="15.75" customHeight="1"/>
    <ns0:row r="182" ht="15.75" customHeight="1"/>
    <ns0:row r="183" ht="15.75" customHeight="1"/>
    <ns0:row r="184" ht="15.75" customHeight="1"/>
    <ns0:row r="185" ht="15.75" customHeight="1"/>
    <ns0:row r="186" ht="15.75" customHeight="1"/>
    <ns0:row r="187" ht="15.75" customHeight="1"/>
    <ns0:row r="188" ht="15.75" customHeight="1"/>
    <ns0:row r="189" ht="15.75" customHeight="1"/>
    <ns0:row r="190" ht="15.75" customHeight="1"/>
    <ns0:row r="191" ht="15.75" customHeight="1"/>
    <ns0:row r="192" ht="15.75" customHeight="1"/>
    <ns0:row r="193" ht="15.75" customHeight="1"/>
    <ns0:row r="194" ht="15.75" customHeight="1"/>
    <ns0:row r="195" ht="15.75" customHeight="1"/>
    <ns0:row r="196" ht="15.75" customHeight="1"/>
    <ns0:row r="197" ht="15.75" customHeight="1"/>
    <ns0:row r="198" ht="15.75" customHeight="1"/>
    <ns0:row r="199" ht="15.75" customHeight="1"/>
    <ns0:row r="200" ht="15.75" customHeight="1"/>
    <ns0:row r="201" ht="15.75" customHeight="1"/>
    <ns0:row r="202" ht="15.75" customHeight="1"/>
    <ns0:row r="203" ht="15.75" customHeight="1"/>
    <ns0:row r="204" ht="15.75" customHeight="1"/>
    <ns0:row r="205" ht="15.75" customHeight="1"/>
    <ns0:row r="206" ht="15.75" customHeight="1"/>
    <ns0:row r="207" ht="15.75" customHeight="1"/>
    <ns0:row r="208" ht="15.75" customHeight="1"/>
    <ns0:row r="209" ht="15.75" customHeight="1"/>
    <ns0:row r="210" ht="15.75" customHeight="1"/>
    <ns0:row r="211" ht="15.75" customHeight="1"/>
    <ns0:row r="212" ht="15.75" customHeight="1"/>
    <ns0:row r="213" ht="15.75" customHeight="1"/>
    <ns0:row r="214" ht="15.75" customHeight="1"/>
    <ns0:row r="215" ht="15.75" customHeight="1"/>
    <ns0:row r="216" ht="15.75" customHeight="1"/>
    <ns0:row r="217" ht="15.75" customHeight="1"/>
    <ns0:row r="218" ht="15.75" customHeight="1"/>
    <ns0:row r="219" ht="15.75" customHeight="1"/>
    <ns0:row r="220" ht="15.75" customHeight="1"/>
    <ns0:row r="221" ht="15.75" customHeight="1"/>
    <ns0:row r="222" ht="15.75" customHeight="1"/>
    <ns0:row r="223" ht="15.75" customHeight="1"/>
    <ns0:row r="224" ht="15.75" customHeight="1"/>
    <ns0:row r="225" ht="15.75" customHeight="1"/>
    <ns0:row r="226" ht="15.75" customHeight="1"/>
    <ns0:row r="227" ht="15.75" customHeight="1"/>
    <ns0:row r="228" ht="15.75" customHeight="1"/>
    <ns0:row r="229" ht="15.75" customHeight="1"/>
    <ns0:row r="230" ht="15.75" customHeight="1"/>
    <ns0:row r="231" ht="15.75" customHeight="1"/>
    <ns0:row r="232" ht="15.75" customHeight="1"/>
    <ns0:row r="233" ht="15.75" customHeight="1"/>
    <ns0:row r="234" ht="15.75" customHeight="1"/>
    <ns0:row r="235" ht="15.75" customHeight="1"/>
    <ns0:row r="236" ht="15.75" customHeight="1"/>
    <ns0:row r="237" ht="15.75" customHeight="1"/>
    <ns0:row r="238" ht="15.75" customHeight="1"/>
    <ns0:row r="239" ht="15.75" customHeight="1"/>
    <ns0:row r="240" ht="15.75" customHeight="1"/>
    <ns0:row r="241" ht="15.75" customHeight="1"/>
    <ns0:row r="242" ht="15.75" customHeight="1"/>
    <ns0:row r="243" ht="15.75" customHeight="1"/>
    <ns0:row r="244" ht="15.75" customHeight="1"/>
    <ns0:row r="245" ht="15.75" customHeight="1"/>
    <ns0:row r="246" ht="15.75" customHeight="1"/>
    <ns0:row r="247" ht="15.75" customHeight="1"/>
    <ns0:row r="248" ht="15.75" customHeight="1"/>
    <ns0:row r="249" ht="15.75" customHeight="1"/>
    <ns0:row r="250" ht="15.75" customHeight="1"/>
    <ns0:row r="251" ht="15.75" customHeight="1"/>
    <ns0:row r="252" ht="15.75" customHeight="1"/>
    <ns0:row r="253" ht="15.75" customHeight="1"/>
    <ns0:row r="254" ht="15.75" customHeight="1"/>
    <ns0:row r="255" ht="15.75" customHeight="1"/>
    <ns0:row r="256" ht="15.75" customHeight="1"/>
    <ns0:row r="257" ht="15.75" customHeight="1"/>
    <ns0:row r="258" ht="15.75" customHeight="1"/>
    <ns0:row r="259" ht="15.75" customHeight="1"/>
    <ns0:row r="260" ht="15.75" customHeight="1"/>
    <ns0:row r="261" ht="15.75" customHeight="1"/>
    <ns0:row r="262" ht="15.75" customHeight="1"/>
    <ns0:row r="263" ht="15.75" customHeight="1"/>
    <ns0:row r="264" ht="15.75" customHeight="1"/>
    <ns0:row r="265" ht="15.75" customHeight="1"/>
    <ns0:row r="266" ht="15.75" customHeight="1"/>
    <ns0:row r="267" ht="15.75" customHeight="1"/>
    <ns0:row r="268" ht="15.75" customHeight="1"/>
    <ns0:row r="269" ht="15.75" customHeight="1"/>
    <ns0:row r="270" ht="15.75" customHeight="1"/>
    <ns0:row r="271" ht="15.75" customHeight="1"/>
    <ns0:row r="272" ht="15.75" customHeight="1"/>
    <ns0:row r="273" ht="15.75" customHeight="1"/>
    <ns0:row r="274" ht="15.75" customHeight="1"/>
    <ns0:row r="275" ht="15.75" customHeight="1"/>
    <ns0:row r="276" ht="15.75" customHeight="1"/>
    <ns0:row r="277" ht="15.75" customHeight="1"/>
    <ns0:row r="278" ht="15.75" customHeight="1"/>
    <ns0:row r="279" ht="15.75" customHeight="1"/>
    <ns0:row r="280" ht="15.75" customHeight="1"/>
    <ns0:row r="281" ht="15.75" customHeight="1"/>
    <ns0:row r="282" ht="15.75" customHeight="1"/>
    <ns0:row r="283" ht="15.75" customHeight="1"/>
    <ns0:row r="284" ht="15.75" customHeight="1"/>
    <ns0:row r="285" ht="15.75" customHeight="1"/>
    <ns0:row r="286" ht="15.75" customHeight="1"/>
    <ns0:row r="287" ht="15.75" customHeight="1"/>
    <ns0:row r="288" ht="15.75" customHeight="1"/>
    <ns0:row r="289" ht="15.75" customHeight="1"/>
    <ns0:row r="290" ht="15.75" customHeight="1"/>
    <ns0:row r="291" ht="15.75" customHeight="1"/>
    <ns0:row r="292" ht="15.75" customHeight="1"/>
    <ns0:row r="293" ht="15.75" customHeight="1"/>
    <ns0:row r="294" ht="15.75" customHeight="1"/>
    <ns0:row r="295" ht="15.75" customHeight="1"/>
    <ns0:row r="296" ht="15.75" customHeight="1"/>
    <ns0:row r="297" ht="15.75" customHeight="1"/>
    <ns0:row r="298" ht="15.75" customHeight="1"/>
    <ns0:row r="299" ht="15.75" customHeight="1"/>
    <ns0:row r="300" ht="15.75" customHeight="1"/>
    <ns0:row r="301" ht="15.75" customHeight="1"/>
    <ns0:row r="302" ht="15.75" customHeight="1"/>
    <ns0:row r="303" ht="15.75" customHeight="1"/>
    <ns0:row r="304" ht="15.75" customHeight="1"/>
    <ns0:row r="305" ht="15.75" customHeight="1"/>
    <ns0:row r="306" ht="15.75" customHeight="1"/>
    <ns0:row r="307" ht="15.75" customHeight="1"/>
    <ns0:row r="308" ht="15.75" customHeight="1"/>
    <ns0:row r="309" ht="15.75" customHeight="1"/>
    <ns0:row r="310" ht="15.75" customHeight="1"/>
    <ns0:row r="311" ht="15.75" customHeight="1"/>
    <ns0:row r="312" ht="15.75" customHeight="1"/>
    <ns0:row r="313" ht="15.75" customHeight="1"/>
    <ns0:row r="314" ht="15.75" customHeight="1"/>
    <ns0:row r="315" ht="15.75" customHeight="1"/>
    <ns0:row r="316" ht="15.75" customHeight="1"/>
    <ns0:row r="317" ht="15.75" customHeight="1"/>
    <ns0:row r="318" ht="15.75" customHeight="1"/>
    <ns0:row r="319" ht="15.75" customHeight="1"/>
    <ns0:row r="320" ht="15.75" customHeight="1"/>
    <ns0:row r="321" ht="15.75" customHeight="1"/>
    <ns0:row r="322" ht="15.75" customHeight="1"/>
    <ns0:row r="323" ht="15.75" customHeight="1"/>
    <ns0:row r="324" ht="15.75" customHeight="1"/>
    <ns0:row r="325" ht="15.75" customHeight="1"/>
    <ns0:row r="326" ht="15.75" customHeight="1"/>
    <ns0:row r="327" ht="15.75" customHeight="1"/>
    <ns0:row r="328" ht="15.75" customHeight="1"/>
    <ns0:row r="329" ht="15.75" customHeight="1"/>
    <ns0:row r="330" ht="15.75" customHeight="1"/>
    <ns0:row r="331" ht="15.75" customHeight="1"/>
    <ns0:row r="332" ht="15.75" customHeight="1"/>
    <ns0:row r="333" ht="15.75" customHeight="1"/>
    <ns0:row r="334" ht="15.75" customHeight="1"/>
    <ns0:row r="335" ht="15.75" customHeight="1"/>
    <ns0:row r="336" ht="15.75" customHeight="1"/>
    <ns0:row r="337" ht="15.75" customHeight="1"/>
    <ns0:row r="338" ht="15.75" customHeight="1"/>
    <ns0:row r="339" ht="15.75" customHeight="1"/>
    <ns0:row r="340" ht="15.75" customHeight="1"/>
    <ns0:row r="341" ht="15.75" customHeight="1"/>
    <ns0:row r="342" ht="15.75" customHeight="1"/>
    <ns0:row r="343" ht="15.75" customHeight="1"/>
    <ns0:row r="344" ht="15.75" customHeight="1"/>
    <ns0:row r="345" ht="15.75" customHeight="1"/>
    <ns0:row r="346" ht="15.75" customHeight="1"/>
    <ns0:row r="347" ht="15.75" customHeight="1"/>
    <ns0:row r="348" ht="15.75" customHeight="1"/>
    <ns0:row r="349" ht="15.75" customHeight="1"/>
    <ns0:row r="350" ht="15.75" customHeight="1"/>
    <ns0:row r="351" ht="15.75" customHeight="1"/>
    <ns0:row r="352" ht="15.75" customHeight="1"/>
    <ns0:row r="353" ht="15.75" customHeight="1"/>
    <ns0:row r="354" ht="15.75" customHeight="1"/>
    <ns0:row r="355" ht="15.75" customHeight="1"/>
    <ns0:row r="356" ht="15.75" customHeight="1"/>
    <ns0:row r="357" ht="15.75" customHeight="1"/>
    <ns0:row r="358" ht="15.75" customHeight="1"/>
    <ns0:row r="359" ht="15.75" customHeight="1"/>
    <ns0:row r="360" ht="15.75" customHeight="1"/>
    <ns0:row r="361" ht="15.75" customHeight="1"/>
    <ns0:row r="362" ht="15.75" customHeight="1"/>
    <ns0:row r="363" ht="15.75" customHeight="1"/>
    <ns0:row r="364" ht="15.75" customHeight="1"/>
    <ns0:row r="365" ht="15.75" customHeight="1"/>
    <ns0:row r="366" ht="15.75" customHeight="1"/>
    <ns0:row r="367" ht="15.75" customHeight="1"/>
    <ns0:row r="368" ht="15.75" customHeight="1"/>
    <ns0:row r="369" ht="15.75" customHeight="1"/>
    <ns0:row r="370" ht="15.75" customHeight="1"/>
    <ns0:row r="371" ht="15.75" customHeight="1"/>
    <ns0:row r="372" ht="15.75" customHeight="1"/>
    <ns0:row r="373" ht="15.75" customHeight="1"/>
    <ns0:row r="374" ht="15.75" customHeight="1"/>
    <ns0:row r="375" ht="15.75" customHeight="1"/>
    <ns0:row r="376" ht="15.75" customHeight="1"/>
    <ns0:row r="377" ht="15.75" customHeight="1"/>
    <ns0:row r="378" ht="15.75" customHeight="1"/>
    <ns0:row r="379" ht="15.75" customHeight="1"/>
    <ns0:row r="380" ht="15.75" customHeight="1"/>
    <ns0:row r="381" ht="15.75" customHeight="1"/>
    <ns0:row r="382" ht="15.75" customHeight="1"/>
    <ns0:row r="383" ht="15.75" customHeight="1"/>
    <ns0:row r="384" ht="15.75" customHeight="1"/>
    <ns0:row r="385" ht="15.75" customHeight="1"/>
    <ns0:row r="386" ht="15.75" customHeight="1"/>
    <ns0:row r="387" ht="15.75" customHeight="1"/>
    <ns0:row r="388" ht="15.75" customHeight="1"/>
    <ns0:row r="389" ht="15.75" customHeight="1"/>
    <ns0:row r="390" ht="15.75" customHeight="1"/>
    <ns0:row r="391" ht="15.75" customHeight="1"/>
    <ns0:row r="392" ht="15.75" customHeight="1"/>
    <ns0:row r="393" ht="15.75" customHeight="1"/>
    <ns0:row r="394" ht="15.75" customHeight="1"/>
    <ns0:row r="395" ht="15.75" customHeight="1"/>
    <ns0:row r="396" ht="15.75" customHeight="1"/>
    <ns0:row r="397" ht="15.75" customHeight="1"/>
    <ns0:row r="398" ht="15.75" customHeight="1"/>
    <ns0:row r="399" ht="15.75" customHeight="1"/>
    <ns0:row r="400" ht="15.75" customHeight="1"/>
    <ns0:row r="401" ht="15.75" customHeight="1"/>
    <ns0:row r="402" ht="15.75" customHeight="1"/>
    <ns0:row r="403" ht="15.75" customHeight="1"/>
    <ns0:row r="404" ht="15.75" customHeight="1"/>
    <ns0:row r="405" ht="15.75" customHeight="1"/>
    <ns0:row r="406" ht="15.75" customHeight="1"/>
    <ns0:row r="407" ht="15.75" customHeight="1"/>
    <ns0:row r="408" ht="15.75" customHeight="1"/>
    <ns0:row r="409" ht="15.75" customHeight="1"/>
    <ns0:row r="410" ht="15.75" customHeight="1"/>
    <ns0:row r="411" ht="15.75" customHeight="1"/>
    <ns0:row r="412" ht="15.75" customHeight="1"/>
    <ns0:row r="413" ht="15.75" customHeight="1"/>
    <ns0:row r="414" ht="15.75" customHeight="1"/>
    <ns0:row r="415" ht="15.75" customHeight="1"/>
    <ns0:row r="416" ht="15.75" customHeight="1"/>
    <ns0:row r="417" ht="15.75" customHeight="1"/>
    <ns0:row r="418" ht="15.75" customHeight="1"/>
    <ns0:row r="419" ht="15.75" customHeight="1"/>
    <ns0:row r="420" ht="15.75" customHeight="1"/>
    <ns0:row r="421" ht="15.75" customHeight="1"/>
    <ns0:row r="422" ht="15.75" customHeight="1"/>
    <ns0:row r="423" ht="15.75" customHeight="1"/>
    <ns0:row r="424" ht="15.75" customHeight="1"/>
    <ns0:row r="425" ht="15.75" customHeight="1"/>
    <ns0:row r="426" ht="15.75" customHeight="1"/>
    <ns0:row r="427" ht="15.75" customHeight="1"/>
    <ns0:row r="428" ht="15.75" customHeight="1"/>
    <ns0:row r="429" ht="15.75" customHeight="1"/>
    <ns0:row r="430" ht="15.75" customHeight="1"/>
    <ns0:row r="431" ht="15.75" customHeight="1"/>
    <ns0:row r="432" ht="15.75" customHeight="1"/>
    <ns0:row r="433" ht="15.75" customHeight="1"/>
    <ns0:row r="434" ht="15.75" customHeight="1"/>
    <ns0:row r="435" ht="15.75" customHeight="1"/>
    <ns0:row r="436" ht="15.75" customHeight="1"/>
    <ns0:row r="437" ht="15.75" customHeight="1"/>
    <ns0:row r="438" ht="15.75" customHeight="1"/>
    <ns0:row r="439" ht="15.75" customHeight="1"/>
    <ns0:row r="440" ht="15.75" customHeight="1"/>
    <ns0:row r="441" ht="15.75" customHeight="1"/>
    <ns0:row r="442" ht="15.75" customHeight="1"/>
    <ns0:row r="443" ht="15.75" customHeight="1"/>
    <ns0:row r="444" ht="15.75" customHeight="1"/>
    <ns0:row r="445" ht="15.75" customHeight="1"/>
    <ns0:row r="446" ht="15.75" customHeight="1"/>
    <ns0:row r="447" ht="15.75" customHeight="1"/>
    <ns0:row r="448" ht="15.75" customHeight="1"/>
    <ns0:row r="449" ht="15.75" customHeight="1"/>
    <ns0:row r="450" ht="15.75" customHeight="1"/>
    <ns0:row r="451" ht="15.75" customHeight="1"/>
    <ns0:row r="452" ht="15.75" customHeight="1"/>
    <ns0:row r="453" ht="15.75" customHeight="1"/>
    <ns0:row r="454" ht="15.75" customHeight="1"/>
    <ns0:row r="455" ht="15.75" customHeight="1"/>
    <ns0:row r="456" ht="15.75" customHeight="1"/>
    <ns0:row r="457" ht="15.75" customHeight="1"/>
    <ns0:row r="458" ht="15.75" customHeight="1"/>
    <ns0:row r="459" ht="15.75" customHeight="1"/>
    <ns0:row r="460" ht="15.75" customHeight="1"/>
    <ns0:row r="461" ht="15.75" customHeight="1"/>
    <ns0:row r="462" ht="15.75" customHeight="1"/>
    <ns0:row r="463" ht="15.75" customHeight="1"/>
    <ns0:row r="464" ht="15.75" customHeight="1"/>
    <ns0:row r="465" ht="15.75" customHeight="1"/>
    <ns0:row r="466" ht="15.75" customHeight="1"/>
    <ns0:row r="467" ht="15.75" customHeight="1"/>
    <ns0:row r="468" ht="15.75" customHeight="1"/>
    <ns0:row r="469" ht="15.75" customHeight="1"/>
    <ns0:row r="470" ht="15.75" customHeight="1"/>
    <ns0:row r="471" ht="15.75" customHeight="1"/>
    <ns0:row r="472" ht="15.75" customHeight="1"/>
    <ns0:row r="473" ht="15.75" customHeight="1"/>
    <ns0:row r="474" ht="15.75" customHeight="1"/>
    <ns0:row r="475" ht="15.75" customHeight="1"/>
    <ns0:row r="476" ht="15.75" customHeight="1"/>
    <ns0:row r="477" ht="15.75" customHeight="1"/>
    <ns0:row r="478" ht="15.75" customHeight="1"/>
    <ns0:row r="479" ht="15.75" customHeight="1"/>
    <ns0:row r="480" ht="15.75" customHeight="1"/>
    <ns0:row r="481" ht="15.75" customHeight="1"/>
    <ns0:row r="482" ht="15.75" customHeight="1"/>
    <ns0:row r="483" ht="15.75" customHeight="1"/>
    <ns0:row r="484" ht="15.75" customHeight="1"/>
    <ns0:row r="485" ht="15.75" customHeight="1"/>
    <ns0:row r="486" ht="15.75" customHeight="1"/>
    <ns0:row r="487" ht="15.75" customHeight="1"/>
    <ns0:row r="488" ht="15.75" customHeight="1"/>
    <ns0:row r="489" ht="15.75" customHeight="1"/>
    <ns0:row r="490" ht="15.75" customHeight="1"/>
    <ns0:row r="491" ht="15.75" customHeight="1"/>
    <ns0:row r="492" ht="15.75" customHeight="1"/>
    <ns0:row r="493" ht="15.75" customHeight="1"/>
    <ns0:row r="494" ht="15.75" customHeight="1"/>
    <ns0:row r="495" ht="15.75" customHeight="1"/>
    <ns0:row r="496" ht="15.75" customHeight="1"/>
    <ns0:row r="497" ht="15.75" customHeight="1"/>
    <ns0:row r="498" ht="15.75" customHeight="1"/>
    <ns0:row r="499" ht="15.75" customHeight="1"/>
    <ns0:row r="500" ht="15.75" customHeight="1"/>
    <ns0:row r="501" ht="15.75" customHeight="1"/>
    <ns0:row r="502" ht="15.75" customHeight="1"/>
    <ns0:row r="503" ht="15.75" customHeight="1"/>
    <ns0:row r="504" ht="15.75" customHeight="1"/>
    <ns0:row r="505" ht="15.75" customHeight="1"/>
    <ns0:row r="506" ht="15.75" customHeight="1"/>
    <ns0:row r="507" ht="15.75" customHeight="1"/>
    <ns0:row r="508" ht="15.75" customHeight="1"/>
    <ns0:row r="509" ht="15.75" customHeight="1"/>
    <ns0:row r="510" ht="15.75" customHeight="1"/>
    <ns0:row r="511" ht="15.75" customHeight="1"/>
    <ns0:row r="512" ht="15.75" customHeight="1"/>
    <ns0:row r="513" ht="15.75" customHeight="1"/>
    <ns0:row r="514" ht="15.75" customHeight="1"/>
    <ns0:row r="515" ht="15.75" customHeight="1"/>
    <ns0:row r="516" ht="15.75" customHeight="1"/>
    <ns0:row r="517" ht="15.75" customHeight="1"/>
    <ns0:row r="518" ht="15.75" customHeight="1"/>
    <ns0:row r="519" ht="15.75" customHeight="1"/>
    <ns0:row r="520" ht="15.75" customHeight="1"/>
    <ns0:row r="521" ht="15.75" customHeight="1"/>
    <ns0:row r="522" ht="15.75" customHeight="1"/>
    <ns0:row r="523" ht="15.75" customHeight="1"/>
    <ns0:row r="524" ht="15.75" customHeight="1"/>
    <ns0:row r="525" ht="15.75" customHeight="1"/>
    <ns0:row r="526" ht="15.75" customHeight="1"/>
    <ns0:row r="527" ht="15.75" customHeight="1"/>
    <ns0:row r="528" ht="15.75" customHeight="1"/>
    <ns0:row r="529" ht="15.75" customHeight="1"/>
    <ns0:row r="530" ht="15.75" customHeight="1"/>
    <ns0:row r="531" ht="15.75" customHeight="1"/>
    <ns0:row r="532" ht="15.75" customHeight="1"/>
    <ns0:row r="533" ht="15.75" customHeight="1"/>
    <ns0:row r="534" ht="15.75" customHeight="1"/>
    <ns0:row r="535" ht="15.75" customHeight="1"/>
    <ns0:row r="536" ht="15.75" customHeight="1"/>
    <ns0:row r="537" ht="15.75" customHeight="1"/>
    <ns0:row r="538" ht="15.75" customHeight="1"/>
    <ns0:row r="539" ht="15.75" customHeight="1"/>
    <ns0:row r="540" ht="15.75" customHeight="1"/>
    <ns0:row r="541" ht="15.75" customHeight="1"/>
    <ns0:row r="542" ht="15.75" customHeight="1"/>
    <ns0:row r="543" ht="15.75" customHeight="1"/>
    <ns0:row r="544" ht="15.75" customHeight="1"/>
    <ns0:row r="545" ht="15.75" customHeight="1"/>
    <ns0:row r="546" ht="15.75" customHeight="1"/>
    <ns0:row r="547" ht="15.75" customHeight="1"/>
    <ns0:row r="548" ht="15.75" customHeight="1"/>
    <ns0:row r="549" ht="15.75" customHeight="1"/>
    <ns0:row r="550" ht="15.75" customHeight="1"/>
    <ns0:row r="551" ht="15.75" customHeight="1"/>
    <ns0:row r="552" ht="15.75" customHeight="1"/>
    <ns0:row r="553" ht="15.75" customHeight="1"/>
    <ns0:row r="554" ht="15.75" customHeight="1"/>
    <ns0:row r="555" ht="15.75" customHeight="1"/>
    <ns0:row r="556" ht="15.75" customHeight="1"/>
    <ns0:row r="557" ht="15.75" customHeight="1"/>
    <ns0:row r="558" ht="15.75" customHeight="1"/>
    <ns0:row r="559" ht="15.75" customHeight="1"/>
    <ns0:row r="560" ht="15.75" customHeight="1"/>
    <ns0:row r="561" ht="15.75" customHeight="1"/>
    <ns0:row r="562" ht="15.75" customHeight="1"/>
    <ns0:row r="563" ht="15.75" customHeight="1"/>
    <ns0:row r="564" ht="15.75" customHeight="1"/>
    <ns0:row r="565" ht="15.75" customHeight="1"/>
    <ns0:row r="566" ht="15.75" customHeight="1"/>
    <ns0:row r="567" ht="15.75" customHeight="1"/>
    <ns0:row r="568" ht="15.75" customHeight="1"/>
    <ns0:row r="569" ht="15.75" customHeight="1"/>
    <ns0:row r="570" ht="15.75" customHeight="1"/>
    <ns0:row r="571" ht="15.75" customHeight="1"/>
    <ns0:row r="572" ht="15.75" customHeight="1"/>
    <ns0:row r="573" ht="15.75" customHeight="1"/>
    <ns0:row r="574" ht="15.75" customHeight="1"/>
    <ns0:row r="575" ht="15.75" customHeight="1"/>
    <ns0:row r="576" ht="15.75" customHeight="1"/>
    <ns0:row r="577" ht="15.75" customHeight="1"/>
    <ns0:row r="578" ht="15.75" customHeight="1"/>
    <ns0:row r="579" ht="15.75" customHeight="1"/>
    <ns0:row r="580" ht="15.75" customHeight="1"/>
    <ns0:row r="581" ht="15.75" customHeight="1"/>
    <ns0:row r="582" ht="15.75" customHeight="1"/>
    <ns0:row r="583" ht="15.75" customHeight="1"/>
    <ns0:row r="584" ht="15.75" customHeight="1"/>
    <ns0:row r="585" ht="15.75" customHeight="1"/>
    <ns0:row r="586" ht="15.75" customHeight="1"/>
    <ns0:row r="587" ht="15.75" customHeight="1"/>
    <ns0:row r="588" ht="15.75" customHeight="1"/>
    <ns0:row r="589" ht="15.75" customHeight="1"/>
    <ns0:row r="590" ht="15.75" customHeight="1"/>
    <ns0:row r="591" ht="15.75" customHeight="1"/>
    <ns0:row r="592" ht="15.75" customHeight="1"/>
    <ns0:row r="593" ht="15.75" customHeight="1"/>
    <ns0:row r="594" ht="15.75" customHeight="1"/>
    <ns0:row r="595" ht="15.75" customHeight="1"/>
    <ns0:row r="596" ht="15.75" customHeight="1"/>
    <ns0:row r="597" ht="15.75" customHeight="1"/>
    <ns0:row r="598" ht="15.75" customHeight="1"/>
    <ns0:row r="599" ht="15.75" customHeight="1"/>
    <ns0:row r="600" ht="15.75" customHeight="1"/>
    <ns0:row r="601" ht="15.75" customHeight="1"/>
    <ns0:row r="602" ht="15.75" customHeight="1"/>
    <ns0:row r="603" ht="15.75" customHeight="1"/>
    <ns0:row r="604" ht="15.75" customHeight="1"/>
    <ns0:row r="605" ht="15.75" customHeight="1"/>
    <ns0:row r="606" ht="15.75" customHeight="1"/>
    <ns0:row r="607" ht="15.75" customHeight="1"/>
    <ns0:row r="608" ht="15.75" customHeight="1"/>
    <ns0:row r="609" ht="15.75" customHeight="1"/>
    <ns0:row r="610" ht="15.75" customHeight="1"/>
    <ns0:row r="611" ht="15.75" customHeight="1"/>
    <ns0:row r="612" ht="15.75" customHeight="1"/>
    <ns0:row r="613" ht="15.75" customHeight="1"/>
    <ns0:row r="614" ht="15.75" customHeight="1"/>
    <ns0:row r="615" ht="15.75" customHeight="1"/>
    <ns0:row r="616" ht="15.75" customHeight="1"/>
    <ns0:row r="617" ht="15.75" customHeight="1"/>
    <ns0:row r="618" ht="15.75" customHeight="1"/>
    <ns0:row r="619" ht="15.75" customHeight="1"/>
    <ns0:row r="620" ht="15.75" customHeight="1"/>
    <ns0:row r="621" ht="15.75" customHeight="1"/>
    <ns0:row r="622" ht="15.75" customHeight="1"/>
    <ns0:row r="623" ht="15.75" customHeight="1"/>
    <ns0:row r="624" ht="15.75" customHeight="1"/>
    <ns0:row r="625" ht="15.75" customHeight="1"/>
    <ns0:row r="626" ht="15.75" customHeight="1"/>
    <ns0:row r="627" ht="15.75" customHeight="1"/>
    <ns0:row r="628" ht="15.75" customHeight="1"/>
    <ns0:row r="629" ht="15.75" customHeight="1"/>
    <ns0:row r="630" ht="15.75" customHeight="1"/>
    <ns0:row r="631" ht="15.75" customHeight="1"/>
    <ns0:row r="632" ht="15.75" customHeight="1"/>
    <ns0:row r="633" ht="15.75" customHeight="1"/>
    <ns0:row r="634" ht="15.75" customHeight="1"/>
    <ns0:row r="635" ht="15.75" customHeight="1"/>
    <ns0:row r="636" ht="15.75" customHeight="1"/>
    <ns0:row r="637" ht="15.75" customHeight="1"/>
    <ns0:row r="638" ht="15.75" customHeight="1"/>
    <ns0:row r="639" ht="15.75" customHeight="1"/>
    <ns0:row r="640" ht="15.75" customHeight="1"/>
    <ns0:row r="641" ht="15.75" customHeight="1"/>
    <ns0:row r="642" ht="15.75" customHeight="1"/>
    <ns0:row r="643" ht="15.75" customHeight="1"/>
    <ns0:row r="644" ht="15.75" customHeight="1"/>
    <ns0:row r="645" ht="15.75" customHeight="1"/>
    <ns0:row r="646" ht="15.75" customHeight="1"/>
    <ns0:row r="647" ht="15.75" customHeight="1"/>
    <ns0:row r="648" ht="15.75" customHeight="1"/>
    <ns0:row r="649" ht="15.75" customHeight="1"/>
    <ns0:row r="650" ht="15.75" customHeight="1"/>
    <ns0:row r="651" ht="15.75" customHeight="1"/>
    <ns0:row r="652" ht="15.75" customHeight="1"/>
    <ns0:row r="653" ht="15.75" customHeight="1"/>
    <ns0:row r="654" ht="15.75" customHeight="1"/>
    <ns0:row r="655" ht="15.75" customHeight="1"/>
    <ns0:row r="656" ht="15.75" customHeight="1"/>
    <ns0:row r="657" ht="15.75" customHeight="1"/>
    <ns0:row r="658" ht="15.75" customHeight="1"/>
    <ns0:row r="659" ht="15.75" customHeight="1"/>
    <ns0:row r="660" ht="15.75" customHeight="1"/>
    <ns0:row r="661" ht="15.75" customHeight="1"/>
    <ns0:row r="662" ht="15.75" customHeight="1"/>
    <ns0:row r="663" ht="15.75" customHeight="1"/>
    <ns0:row r="664" ht="15.75" customHeight="1"/>
    <ns0:row r="665" ht="15.75" customHeight="1"/>
    <ns0:row r="666" ht="15.75" customHeight="1"/>
    <ns0:row r="667" ht="15.75" customHeight="1"/>
    <ns0:row r="668" ht="15.75" customHeight="1"/>
    <ns0:row r="669" ht="15.75" customHeight="1"/>
    <ns0:row r="670" ht="15.75" customHeight="1"/>
    <ns0:row r="671" ht="15.75" customHeight="1"/>
    <ns0:row r="672" ht="15.75" customHeight="1"/>
    <ns0:row r="673" ht="15.75" customHeight="1"/>
    <ns0:row r="674" ht="15.75" customHeight="1"/>
    <ns0:row r="675" ht="15.75" customHeight="1"/>
    <ns0:row r="676" ht="15.75" customHeight="1"/>
    <ns0:row r="677" ht="15.75" customHeight="1"/>
    <ns0:row r="678" ht="15.75" customHeight="1"/>
    <ns0:row r="679" ht="15.75" customHeight="1"/>
    <ns0:row r="680" ht="15.75" customHeight="1"/>
    <ns0:row r="681" ht="15.75" customHeight="1"/>
    <ns0:row r="682" ht="15.75" customHeight="1"/>
    <ns0:row r="683" ht="15.75" customHeight="1"/>
    <ns0:row r="684" ht="15.75" customHeight="1"/>
    <ns0:row r="685" ht="15.75" customHeight="1"/>
    <ns0:row r="686" ht="15.75" customHeight="1"/>
    <ns0:row r="687" ht="15.75" customHeight="1"/>
    <ns0:row r="688" ht="15.75" customHeight="1"/>
    <ns0:row r="689" ht="15.75" customHeight="1"/>
    <ns0:row r="690" ht="15.75" customHeight="1"/>
    <ns0:row r="691" ht="15.75" customHeight="1"/>
    <ns0:row r="692" ht="15.75" customHeight="1"/>
    <ns0:row r="693" ht="15.75" customHeight="1"/>
    <ns0:row r="694" ht="15.75" customHeight="1"/>
    <ns0:row r="695" ht="15.75" customHeight="1"/>
    <ns0:row r="696" ht="15.75" customHeight="1"/>
    <ns0:row r="697" ht="15.75" customHeight="1"/>
    <ns0:row r="698" ht="15.75" customHeight="1"/>
    <ns0:row r="699" ht="15.75" customHeight="1"/>
    <ns0:row r="700" ht="15.75" customHeight="1"/>
    <ns0:row r="701" ht="15.75" customHeight="1"/>
    <ns0:row r="702" ht="15.75" customHeight="1"/>
    <ns0:row r="703" ht="15.75" customHeight="1"/>
    <ns0:row r="704" ht="15.75" customHeight="1"/>
    <ns0:row r="705" ht="15.75" customHeight="1"/>
    <ns0:row r="706" ht="15.75" customHeight="1"/>
    <ns0:row r="707" ht="15.75" customHeight="1"/>
    <ns0:row r="708" ht="15.75" customHeight="1"/>
    <ns0:row r="709" ht="15.75" customHeight="1"/>
    <ns0:row r="710" ht="15.75" customHeight="1"/>
    <ns0:row r="711" ht="15.75" customHeight="1"/>
    <ns0:row r="712" ht="15.75" customHeight="1"/>
    <ns0:row r="713" ht="15.75" customHeight="1"/>
    <ns0:row r="714" ht="15.75" customHeight="1"/>
    <ns0:row r="715" ht="15.75" customHeight="1"/>
    <ns0:row r="716" ht="15.75" customHeight="1"/>
    <ns0:row r="717" ht="15.75" customHeight="1"/>
    <ns0:row r="718" ht="15.75" customHeight="1"/>
    <ns0:row r="719" ht="15.75" customHeight="1"/>
    <ns0:row r="720" ht="15.75" customHeight="1"/>
    <ns0:row r="721" ht="15.75" customHeight="1"/>
    <ns0:row r="722" ht="15.75" customHeight="1"/>
    <ns0:row r="723" ht="15.75" customHeight="1"/>
    <ns0:row r="724" ht="15.75" customHeight="1"/>
    <ns0:row r="725" ht="15.75" customHeight="1"/>
    <ns0:row r="726" ht="15.75" customHeight="1"/>
    <ns0:row r="727" ht="15.75" customHeight="1"/>
    <ns0:row r="728" ht="15.75" customHeight="1"/>
    <ns0:row r="729" ht="15.75" customHeight="1"/>
    <ns0:row r="730" ht="15.75" customHeight="1"/>
    <ns0:row r="731" ht="15.75" customHeight="1"/>
    <ns0:row r="732" ht="15.75" customHeight="1"/>
    <ns0:row r="733" ht="15.75" customHeight="1"/>
    <ns0:row r="734" ht="15.75" customHeight="1"/>
    <ns0:row r="735" ht="15.75" customHeight="1"/>
    <ns0:row r="736" ht="15.75" customHeight="1"/>
    <ns0:row r="737" ht="15.75" customHeight="1"/>
    <ns0:row r="738" ht="15.75" customHeight="1"/>
    <ns0:row r="739" ht="15.75" customHeight="1"/>
    <ns0:row r="740" ht="15.75" customHeight="1"/>
    <ns0:row r="741" ht="15.75" customHeight="1"/>
    <ns0:row r="742" ht="15.75" customHeight="1"/>
    <ns0:row r="743" ht="15.75" customHeight="1"/>
    <ns0:row r="744" ht="15.75" customHeight="1"/>
    <ns0:row r="745" ht="15.75" customHeight="1"/>
    <ns0:row r="746" ht="15.75" customHeight="1"/>
    <ns0:row r="747" ht="15.75" customHeight="1"/>
    <ns0:row r="748" ht="15.75" customHeight="1"/>
    <ns0:row r="749" ht="15.75" customHeight="1"/>
    <ns0:row r="750" ht="15.75" customHeight="1"/>
    <ns0:row r="751" ht="15.75" customHeight="1"/>
    <ns0:row r="752" ht="15.75" customHeight="1"/>
    <ns0:row r="753" ht="15.75" customHeight="1"/>
    <ns0:row r="754" ht="15.75" customHeight="1"/>
    <ns0:row r="755" ht="15.75" customHeight="1"/>
    <ns0:row r="756" ht="15.75" customHeight="1"/>
    <ns0:row r="757" ht="15.75" customHeight="1"/>
    <ns0:row r="758" ht="15.75" customHeight="1"/>
    <ns0:row r="759" ht="15.75" customHeight="1"/>
    <ns0:row r="760" ht="15.75" customHeight="1"/>
    <ns0:row r="761" ht="15.75" customHeight="1"/>
    <ns0:row r="762" ht="15.75" customHeight="1"/>
    <ns0:row r="763" ht="15.75" customHeight="1"/>
    <ns0:row r="764" ht="15.75" customHeight="1"/>
    <ns0:row r="765" ht="15.75" customHeight="1"/>
    <ns0:row r="766" ht="15.75" customHeight="1"/>
    <ns0:row r="767" ht="15.75" customHeight="1"/>
    <ns0:row r="768" ht="15.75" customHeight="1"/>
    <ns0:row r="769" ht="15.75" customHeight="1"/>
    <ns0:row r="770" ht="15.75" customHeight="1"/>
    <ns0:row r="771" ht="15.75" customHeight="1"/>
    <ns0:row r="772" ht="15.75" customHeight="1"/>
    <ns0:row r="773" ht="15.75" customHeight="1"/>
    <ns0:row r="774" ht="15.75" customHeight="1"/>
    <ns0:row r="775" ht="15.75" customHeight="1"/>
    <ns0:row r="776" ht="15.75" customHeight="1"/>
    <ns0:row r="777" ht="15.75" customHeight="1"/>
    <ns0:row r="778" ht="15.75" customHeight="1"/>
    <ns0:row r="779" ht="15.75" customHeight="1"/>
    <ns0:row r="780" ht="15.75" customHeight="1"/>
    <ns0:row r="781" ht="15.75" customHeight="1"/>
    <ns0:row r="782" ht="15.75" customHeight="1"/>
    <ns0:row r="783" ht="15.75" customHeight="1"/>
    <ns0:row r="784" ht="15.75" customHeight="1"/>
    <ns0:row r="785" ht="15.75" customHeight="1"/>
    <ns0:row r="786" ht="15.75" customHeight="1"/>
    <ns0:row r="787" ht="15.75" customHeight="1"/>
    <ns0:row r="788" ht="15.75" customHeight="1"/>
    <ns0:row r="789" ht="15.75" customHeight="1"/>
    <ns0:row r="790" ht="15.75" customHeight="1"/>
    <ns0:row r="791" ht="15.75" customHeight="1"/>
    <ns0:row r="792" ht="15.75" customHeight="1"/>
    <ns0:row r="793" ht="15.75" customHeight="1"/>
    <ns0:row r="794" ht="15.75" customHeight="1"/>
    <ns0:row r="795" ht="15.75" customHeight="1"/>
    <ns0:row r="796" ht="15.75" customHeight="1"/>
    <ns0:row r="797" ht="15.75" customHeight="1"/>
    <ns0:row r="798" ht="15.75" customHeight="1"/>
    <ns0:row r="799" ht="15.75" customHeight="1"/>
    <ns0:row r="800" ht="15.75" customHeight="1"/>
    <ns0:row r="801" ht="15.75" customHeight="1"/>
    <ns0:row r="802" ht="15.75" customHeight="1"/>
    <ns0:row r="803" ht="15.75" customHeight="1"/>
    <ns0:row r="804" ht="15.75" customHeight="1"/>
    <ns0:row r="805" ht="15.75" customHeight="1"/>
    <ns0:row r="806" ht="15.75" customHeight="1"/>
    <ns0:row r="807" ht="15.75" customHeight="1"/>
    <ns0:row r="808" ht="15.75" customHeight="1"/>
    <ns0:row r="809" ht="15.75" customHeight="1"/>
    <ns0:row r="810" ht="15.75" customHeight="1"/>
    <ns0:row r="811" ht="15.75" customHeight="1"/>
    <ns0:row r="812" ht="15.75" customHeight="1"/>
    <ns0:row r="813" ht="15.75" customHeight="1"/>
    <ns0:row r="814" ht="15.75" customHeight="1"/>
    <ns0:row r="815" ht="15.75" customHeight="1"/>
    <ns0:row r="816" ht="15.75" customHeight="1"/>
    <ns0:row r="817" ht="15.75" customHeight="1"/>
    <ns0:row r="818" ht="15.75" customHeight="1"/>
    <ns0:row r="819" ht="15.75" customHeight="1"/>
    <ns0:row r="820" ht="15.75" customHeight="1"/>
    <ns0:row r="821" ht="15.75" customHeight="1"/>
    <ns0:row r="822" ht="15.75" customHeight="1"/>
    <ns0:row r="823" ht="15.75" customHeight="1"/>
    <ns0:row r="824" ht="15.75" customHeight="1"/>
    <ns0:row r="825" ht="15.75" customHeight="1"/>
    <ns0:row r="826" ht="15.75" customHeight="1"/>
    <ns0:row r="827" ht="15.75" customHeight="1"/>
    <ns0:row r="828" ht="15.75" customHeight="1"/>
    <ns0:row r="829" ht="15.75" customHeight="1"/>
    <ns0:row r="830" ht="15.75" customHeight="1"/>
    <ns0:row r="831" ht="15.75" customHeight="1"/>
    <ns0:row r="832" ht="15.75" customHeight="1"/>
    <ns0:row r="833" ht="15.75" customHeight="1"/>
    <ns0:row r="834" ht="15.75" customHeight="1"/>
    <ns0:row r="835" ht="15.75" customHeight="1"/>
    <ns0:row r="836" ht="15.75" customHeight="1"/>
    <ns0:row r="837" ht="15.75" customHeight="1"/>
    <ns0:row r="838" ht="15.75" customHeight="1"/>
    <ns0:row r="839" ht="15.75" customHeight="1"/>
    <ns0:row r="840" ht="15.75" customHeight="1"/>
    <ns0:row r="841" ht="15.75" customHeight="1"/>
    <ns0:row r="842" ht="15.75" customHeight="1"/>
    <ns0:row r="843" ht="15.75" customHeight="1"/>
    <ns0:row r="844" ht="15.75" customHeight="1"/>
    <ns0:row r="845" ht="15.75" customHeight="1"/>
    <ns0:row r="846" ht="15.75" customHeight="1"/>
    <ns0:row r="847" ht="15.75" customHeight="1"/>
    <ns0:row r="848" ht="15.75" customHeight="1"/>
    <ns0:row r="849" ht="15.75" customHeight="1"/>
    <ns0:row r="850" ht="15.75" customHeight="1"/>
    <ns0:row r="851" ht="15.75" customHeight="1"/>
    <ns0:row r="852" ht="15.75" customHeight="1"/>
    <ns0:row r="853" ht="15.75" customHeight="1"/>
    <ns0:row r="854" ht="15.75" customHeight="1"/>
    <ns0:row r="855" ht="15.75" customHeight="1"/>
    <ns0:row r="856" ht="15.75" customHeight="1"/>
    <ns0:row r="857" ht="15.75" customHeight="1"/>
    <ns0:row r="858" ht="15.75" customHeight="1"/>
    <ns0:row r="859" ht="15.75" customHeight="1"/>
    <ns0:row r="860" ht="15.75" customHeight="1"/>
    <ns0:row r="861" ht="15.75" customHeight="1"/>
    <ns0:row r="862" ht="15.75" customHeight="1"/>
    <ns0:row r="863" ht="15.75" customHeight="1"/>
    <ns0:row r="864" ht="15.75" customHeight="1"/>
    <ns0:row r="865" ht="15.75" customHeight="1"/>
    <ns0:row r="866" ht="15.75" customHeight="1"/>
    <ns0:row r="867" ht="15.75" customHeight="1"/>
    <ns0:row r="868" ht="15.75" customHeight="1"/>
    <ns0:row r="869" ht="15.75" customHeight="1"/>
    <ns0:row r="870" ht="15.75" customHeight="1"/>
    <ns0:row r="871" ht="15.75" customHeight="1"/>
    <ns0:row r="872" ht="15.75" customHeight="1"/>
    <ns0:row r="873" ht="15.75" customHeight="1"/>
    <ns0:row r="874" ht="15.75" customHeight="1"/>
    <ns0:row r="875" ht="15.75" customHeight="1"/>
    <ns0:row r="876" ht="15.75" customHeight="1"/>
    <ns0:row r="877" ht="15.75" customHeight="1"/>
    <ns0:row r="878" ht="15.75" customHeight="1"/>
    <ns0:row r="879" ht="15.75" customHeight="1"/>
    <ns0:row r="880" ht="15.75" customHeight="1"/>
    <ns0:row r="881" ht="15.75" customHeight="1"/>
    <ns0:row r="882" ht="15.75" customHeight="1"/>
    <ns0:row r="883" ht="15.75" customHeight="1"/>
    <ns0:row r="884" ht="15.75" customHeight="1"/>
    <ns0:row r="885" ht="15.75" customHeight="1"/>
    <ns0:row r="886" ht="15.75" customHeight="1"/>
    <ns0:row r="887" ht="15.75" customHeight="1"/>
    <ns0:row r="888" ht="15.75" customHeight="1"/>
    <ns0:row r="889" ht="15.75" customHeight="1"/>
    <ns0:row r="890" ht="15.75" customHeight="1"/>
    <ns0:row r="891" ht="15.75" customHeight="1"/>
    <ns0:row r="892" ht="15.75" customHeight="1"/>
    <ns0:row r="893" ht="15.75" customHeight="1"/>
    <ns0:row r="894" ht="15.75" customHeight="1"/>
    <ns0:row r="895" ht="15.75" customHeight="1"/>
    <ns0:row r="896" ht="15.75" customHeight="1"/>
    <ns0:row r="897" ht="15.75" customHeight="1"/>
    <ns0:row r="898" ht="15.75" customHeight="1"/>
    <ns0:row r="899" ht="15.75" customHeight="1"/>
    <ns0:row r="900" ht="15.75" customHeight="1"/>
    <ns0:row r="901" ht="15.75" customHeight="1"/>
    <ns0:row r="902" ht="15.75" customHeight="1"/>
    <ns0:row r="903" ht="15.75" customHeight="1"/>
    <ns0:row r="904" ht="15.75" customHeight="1"/>
    <ns0:row r="905" ht="15.75" customHeight="1"/>
    <ns0:row r="906" ht="15.75" customHeight="1"/>
    <ns0:row r="907" ht="15.75" customHeight="1"/>
    <ns0:row r="908" ht="15.75" customHeight="1"/>
    <ns0:row r="909" ht="15.75" customHeight="1"/>
    <ns0:row r="910" ht="15.75" customHeight="1"/>
    <ns0:row r="911" ht="15.75" customHeight="1"/>
    <ns0:row r="912" ht="15.75" customHeight="1"/>
    <ns0:row r="913" ht="15.75" customHeight="1"/>
    <ns0:row r="914" ht="15.75" customHeight="1"/>
    <ns0:row r="915" ht="15.75" customHeight="1"/>
    <ns0:row r="916" ht="15.75" customHeight="1"/>
    <ns0:row r="917" ht="15.75" customHeight="1"/>
    <ns0:row r="918" ht="15.75" customHeight="1"/>
    <ns0:row r="919" ht="15.75" customHeight="1"/>
    <ns0:row r="920" ht="15.75" customHeight="1"/>
    <ns0:row r="921" ht="15.75" customHeight="1"/>
    <ns0:row r="922" ht="15.75" customHeight="1"/>
    <ns0:row r="923" ht="15.75" customHeight="1"/>
    <ns0:row r="924" ht="15.75" customHeight="1"/>
    <ns0:row r="925" ht="15.75" customHeight="1"/>
    <ns0:row r="926" ht="15.75" customHeight="1"/>
    <ns0:row r="927" ht="15.75" customHeight="1"/>
    <ns0:row r="928" ht="15.75" customHeight="1"/>
    <ns0:row r="929" ht="15.75" customHeight="1"/>
    <ns0:row r="930" ht="15.75" customHeight="1"/>
    <ns0:row r="931" ht="15.75" customHeight="1"/>
    <ns0:row r="932" ht="15.75" customHeight="1"/>
    <ns0:row r="933" ht="15.75" customHeight="1"/>
    <ns0:row r="934" ht="15.75" customHeight="1"/>
    <ns0:row r="935" ht="15.75" customHeight="1"/>
    <ns0:row r="936" ht="15.75" customHeight="1"/>
    <ns0:row r="937" ht="15.75" customHeight="1"/>
    <ns0:row r="938" ht="15.75" customHeight="1"/>
    <ns0:row r="939" ht="15.75" customHeight="1"/>
    <ns0:row r="940" ht="15.75" customHeight="1"/>
    <ns0:row r="941" ht="15.75" customHeight="1"/>
    <ns0:row r="942" ht="15.75" customHeight="1"/>
    <ns0:row r="943" ht="15.75" customHeight="1"/>
    <ns0:row r="944" ht="15.75" customHeight="1"/>
    <ns0:row r="945" ht="15.75" customHeight="1"/>
    <ns0:row r="946" ht="15.75" customHeight="1"/>
    <ns0:row r="947" ht="15.75" customHeight="1"/>
    <ns0:row r="948" ht="15.75" customHeight="1"/>
    <ns0:row r="949" ht="15.75" customHeight="1"/>
    <ns0:row r="950" ht="15.75" customHeight="1"/>
    <ns0:row r="951" ht="15.75" customHeight="1"/>
    <ns0:row r="952" ht="15.75" customHeight="1"/>
    <ns0:row r="953" ht="15.75" customHeight="1"/>
    <ns0:row r="954" ht="15.75" customHeight="1"/>
    <ns0:row r="955" ht="15.75" customHeight="1"/>
    <ns0:row r="956" ht="15.75" customHeight="1"/>
    <ns0:row r="957" ht="15.75" customHeight="1"/>
    <ns0:row r="958" ht="15.75" customHeight="1"/>
    <ns0:row r="959" ht="15.75" customHeight="1"/>
    <ns0:row r="960" ht="15.75" customHeight="1"/>
    <ns0:row r="961" ht="15.75" customHeight="1"/>
    <ns0:row r="962" ht="15.75" customHeight="1"/>
    <ns0:row r="963" ht="15.75" customHeight="1"/>
    <ns0:row r="964" ht="15.75" customHeight="1"/>
    <ns0:row r="965" ht="15.75" customHeight="1"/>
    <ns0:row r="966" ht="15.75" customHeight="1"/>
    <ns0:row r="967" ht="15.75" customHeight="1"/>
    <ns0:row r="968" ht="15.75" customHeight="1"/>
    <ns0:row r="969" ht="15.75" customHeight="1"/>
    <ns0:row r="970" ht="15.75" customHeight="1"/>
    <ns0:row r="971" ht="15.75" customHeight="1"/>
    <ns0:row r="972" ht="15.75" customHeight="1"/>
    <ns0:row r="973" ht="15.75" customHeight="1"/>
    <ns0:row r="974" ht="15.75" customHeight="1"/>
    <ns0:row r="975" ht="15.75" customHeight="1"/>
    <ns0:row r="976" ht="15.75" customHeight="1"/>
    <ns0:row r="977" ht="15.75" customHeight="1"/>
    <ns0:row r="978" ht="15.75" customHeight="1"/>
    <ns0:row r="979" ht="15.75" customHeight="1"/>
    <ns0:row r="980" ht="15.75" customHeight="1"/>
    <ns0:row r="981" ht="15.75" customHeight="1"/>
    <ns0:row r="982" ht="15.75" customHeight="1"/>
    <ns0:row r="983" ht="15.75" customHeight="1"/>
    <ns0:row r="984" ht="15.75" customHeight="1"/>
    <ns0:row r="985" ht="15.75" customHeight="1"/>
    <ns0:row r="986" ht="15.75" customHeight="1"/>
    <ns0:row r="987" ht="15.75" customHeight="1"/>
    <ns0:row r="988" ht="15.75" customHeight="1"/>
    <ns0:row r="989" ht="15.75" customHeight="1"/>
    <ns0:row r="990" ht="15.75" customHeight="1"/>
    <ns0:row r="991" ht="15.75" customHeight="1"/>
    <ns0:row r="992" ht="15.75" customHeight="1"/>
    <ns0:row r="993" ht="15.75" customHeight="1"/>
    <ns0:row r="994" ht="15.75" customHeight="1"/>
    <ns0:row r="995" ht="15.75" customHeight="1"/>
    <ns0:row r="996" ht="15.75" customHeight="1"/>
    <ns0:row r="997" ht="15.75" customHeight="1"/>
    <ns0:row r="998" ht="15.75" customHeight="1"/>
    <ns0:row r="999" ht="15.75" customHeight="1"/>
    <ns0:row r="1000" ht="15.75" customHeight="1"/>
  </ns0:sheetData>
  <ns0:pageMargins left="0.7" right="0.7" top="0.75" bottom="0.75" header="0.3" footer="0.3"/>
  <ns0:tableParts count="1">
    <ns0:tablePart ns1:id="R2ebabdc2a8fb4b16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FFC77F6A"/>
  </ns0:sheetPr>
  <ns0:sheetViews>
    <ns0:sheetView showGridLines="0" workbookViewId="0">
      <ns0:pane xSplit="1" ySplit="4" topLeftCell="B5" activePane="bottomRight" state="frozen"/>
    </ns0:sheetView>
  </ns0:sheetViews>
  <ns0:sheetFormatPr defaultColWidth="12.630000114440918" defaultRowHeight="15"/>
  <ns0:cols>
    <ns0:col min="1" max="1" width="12" hidden="0" customWidth="1"/>
    <ns0:col min="2" max="2" width="22" hidden="1" customWidth="1"/>
    <ns0:col min="3" max="3" width="9" hidden="0" customWidth="1"/>
    <ns0:col min="4" max="4" width="15" hidden="0" customWidth="1"/>
    <ns0:col min="5" max="5" width="15" hidden="0" customWidth="1"/>
    <ns0:col min="6" max="6" width="20" hidden="1" customWidth="1"/>
    <ns0:col min="7" max="7" width="13" hidden="1" customWidth="1"/>
    <ns0:col min="8" max="8" width="46" hidden="0" customWidth="1"/>
    <ns0:col min="9" max="9" width="42" hidden="1" customWidth="1"/>
    <ns0:col min="10" max="10" width="40" hidden="0" customWidth="1"/>
    <ns0:col min="11" max="11" width="34" hidden="1" customWidth="1"/>
    <ns0:col min="12" max="12" width="28" hidden="1" customWidth="1"/>
    <ns0:col min="13" max="13" width="8.630000114440918" customWidth="1"/>
    <ns0:col min="14" max="14" width="8.630000114440918" customWidth="1"/>
    <ns0:col min="15" max="15" width="8.630000114440918" customWidth="1"/>
    <ns0:col min="16" max="16" width="8.630000114440918" customWidth="1"/>
    <ns0:col min="17" max="17" width="8.630000114440918" customWidth="1"/>
    <ns0:col min="18" max="18" width="8.630000114440918" customWidth="1"/>
    <ns0:col min="19" max="19" width="8.630000114440918" customWidth="1"/>
    <ns0:col min="20" max="20" width="8.630000114440918" customWidth="1"/>
    <ns0:col min="21" max="21" width="8.630000114440918" customWidth="1"/>
    <ns0:col min="22" max="22" width="8.630000114440918" customWidth="1"/>
    <ns0:col min="23" max="23" width="8.630000114440918" customWidth="1"/>
    <ns0:col min="24" max="24" width="8.630000114440918" customWidth="1"/>
    <ns0:col min="25" max="25" width="8.630000114440918" customWidth="1"/>
    <ns0:col min="26" max="26" width="8.630000114440918" customWidth="1"/>
  </ns0:cols>
  <ns0:sheetData>
    <ns0:row r="1" ht="40" customHeight="1">
      <ns0:c r="A1" s="108" t="str">
        <ns0:v>Listening tests</ns0:v>
      </ns0:c>
      <ns0:c r="B1" s="106"/>
      <ns0:c r="C1" s="106"/>
      <ns0:c r="D1" s="106"/>
      <ns0:c r="E1" s="106"/>
      <ns0:c r="F1" s="106"/>
      <ns0:c r="G1" s="106"/>
      <ns0:c r="H1" s="106"/>
      <ns0:c r="I1" s="106"/>
      <ns0:c r="J1" s="106"/>
      <ns0:c r="K1" s="106"/>
      <ns0:c r="L1" s="107"/>
    </ns0:row>
    <ns0:row r="2" ht="26" customHeight="1">
      <ns0:c r="A2" s="109" t="str">
        <ns0:v>Log what you heard and the build you tested. Close a defect after retesting its fix.</ns0:v>
      </ns0:c>
      <ns0:c r="B2" s="61"/>
      <ns0:c r="C2" s="61"/>
      <ns0:c r="D2" s="61"/>
      <ns0:c r="E2" s="61"/>
      <ns0:c r="F2" s="61"/>
      <ns0:c r="G2" s="61"/>
      <ns0:c r="H2" s="61"/>
      <ns0:c r="I2" s="61"/>
      <ns0:c r="J2" s="61"/>
      <ns0:c r="K2" s="61"/>
      <ns0:c r="L2" s="62"/>
    </ns0:row>
    <ns0:row r="3" ht="10" customHeight="1">
      <ns0:c r="A3" s="60"/>
      <ns0:c r="B3" s="61"/>
      <ns0:c r="C3" s="61"/>
      <ns0:c r="D3" s="61"/>
      <ns0:c r="E3" s="61"/>
      <ns0:c r="F3" s="61"/>
      <ns0:c r="G3" s="61"/>
      <ns0:c r="H3" s="61"/>
      <ns0:c r="I3" s="61"/>
      <ns0:c r="J3" s="61"/>
      <ns0:c r="K3" s="61"/>
      <ns0:c r="L3" s="62"/>
    </ns0:row>
    <ns0:row r="4" ht="34" customHeight="1">
      <ns0:c r="A4" s="102" t="s">
        <ns0:v>321</ns0:v>
      </ns0:c>
      <ns0:c r="B4" s="103" t="s">
        <ns0:v>191</ns0:v>
      </ns0:c>
      <ns0:c r="C4" s="103" t="s">
        <ns0:v>3</ns0:v>
      </ns0:c>
      <ns0:c r="D4" s="103" t="s">
        <ns0:v>322</ns0:v>
      </ns0:c>
      <ns0:c r="E4" s="103" t="s">
        <ns0:v>5</ns0:v>
      </ns0:c>
      <ns0:c r="F4" s="103" t="s">
        <ns0:v>323</ns0:v>
      </ns0:c>
      <ns0:c r="G4" s="103" t="s">
        <ns0:v>324</ns0:v>
      </ns0:c>
      <ns0:c r="H4" s="103" t="s">
        <ns0:v>325</ns0:v>
      </ns0:c>
      <ns0:c r="I4" s="103" t="s">
        <ns0:v>326</ns0:v>
      </ns0:c>
      <ns0:c r="J4" s="103" t="s">
        <ns0:v>327</ns0:v>
      </ns0:c>
      <ns0:c r="K4" s="103" t="s">
        <ns0:v>328</ns0:v>
      </ns0:c>
      <ns0:c r="L4" s="104" t="s">
        <ns0:v>329</ns0:v>
      </ns0:c>
    </ns0:row>
    <ns0:row r="5" ht="78" customHeight="1">
      <ns0:c r="A5" s="90" t="s">
        <ns0:v>330</ns0:v>
      </ns0:c>
      <ns0:c r="B5" s="91" t="s">
        <ns0:v>119</ns0:v>
      </ns0:c>
      <ns0:c r="C5" s="91" t="s">
        <ns0:v>66</ns0:v>
      </ns0:c>
      <ns0:c r="D5" s="91" t="s">
        <ns0:v>331</ns0:v>
      </ns0:c>
      <ns0:c r="E5" s="143"/>
      <ns0:c r="F5" s="91"/>
      <ns0:c r="G5" s="92"/>
      <ns0:c r="H5" s="91" t="s">
        <ns0:v>332</ns0:v>
      </ns0:c>
      <ns0:c r="I5" s="91" t="s">
        <ns0:v>333</ns0:v>
      </ns0:c>
      <ns0:c r="J5" s="91" t="s">
        <ns0:v>334</ns0:v>
      </ns0:c>
      <ns0:c r="K5" s="91"/>
      <ns0:c r="L5" s="95" t="s">
        <ns0:v>335</ns0:v>
      </ns0:c>
    </ns0:row>
    <ns0:row r="6" ht="78" customHeight="1">
      <ns0:c r="A6" s="78" t="s">
        <ns0:v>336</ns0:v>
      </ns0:c>
      <ns0:c r="B6" s="79" t="s">
        <ns0:v>64</ns0:v>
      </ns0:c>
      <ns0:c r="C6" s="79" t="s">
        <ns0:v>66</ns0:v>
      </ns0:c>
      <ns0:c r="D6" s="79" t="s">
        <ns0:v>337</ns0:v>
      </ns0:c>
      <ns0:c r="E6" s="143"/>
      <ns0:c r="F6" s="79"/>
      <ns0:c r="G6" s="80"/>
      <ns0:c r="H6" s="79" t="s">
        <ns0:v>338</ns0:v>
      </ns0:c>
      <ns0:c r="I6" s="79" t="s">
        <ns0:v>339</ns0:v>
      </ns0:c>
      <ns0:c r="J6" s="79"/>
      <ns0:c r="K6" s="79"/>
      <ns0:c r="L6" s="83" t="s">
        <ns0:v>340</ns0:v>
      </ns0:c>
    </ns0:row>
    <ns0:row r="7" ht="78" customHeight="1">
      <ns0:c r="A7" s="90" t="s">
        <ns0:v>341</ns0:v>
      </ns0:c>
      <ns0:c r="B7" s="91" t="s">
        <ns0:v>109</ns0:v>
      </ns0:c>
      <ns0:c r="C7" s="91" t="s">
        <ns0:v>66</ns0:v>
      </ns0:c>
      <ns0:c r="D7" s="91" t="s">
        <ns0:v>337</ns0:v>
      </ns0:c>
      <ns0:c r="E7" s="143"/>
      <ns0:c r="F7" s="91"/>
      <ns0:c r="G7" s="92"/>
      <ns0:c r="H7" s="91" t="s">
        <ns0:v>342</ns0:v>
      </ns0:c>
      <ns0:c r="I7" s="91" t="s">
        <ns0:v>343</ns0:v>
      </ns0:c>
      <ns0:c r="J7" s="91"/>
      <ns0:c r="K7" s="91"/>
      <ns0:c r="L7" s="95" t="s">
        <ns0:v>340</ns0:v>
      </ns0:c>
    </ns0:row>
    <ns0:row r="8" ht="78" customHeight="1">
      <ns0:c r="A8" s="78" t="s">
        <ns0:v>344</ns0:v>
      </ns0:c>
      <ns0:c r="B8" s="79" t="s">
        <ns0:v>345</ns0:v>
      </ns0:c>
      <ns0:c r="C8" s="79" t="s">
        <ns0:v>23</ns0:v>
      </ns0:c>
      <ns0:c r="D8" s="79" t="s">
        <ns0:v>337</ns0:v>
      </ns0:c>
      <ns0:c r="E8" s="143"/>
      <ns0:c r="F8" s="79"/>
      <ns0:c r="G8" s="80"/>
      <ns0:c r="H8" s="79" t="s">
        <ns0:v>346</ns0:v>
      </ns0:c>
      <ns0:c r="I8" s="79" t="s">
        <ns0:v>347</ns0:v>
      </ns0:c>
      <ns0:c r="J8" s="79"/>
      <ns0:c r="K8" s="79"/>
      <ns0:c r="L8" s="83" t="s">
        <ns0:v>340</ns0:v>
      </ns0:c>
    </ns0:row>
    <ns0:row r="9" ht="78" customHeight="1">
      <ns0:c r="A9" s="90" t="s">
        <ns0:v>348</ns0:v>
      </ns0:c>
      <ns0:c r="B9" s="91" t="s">
        <ns0:v>349</ns0:v>
      </ns0:c>
      <ns0:c r="C9" s="91" t="s">
        <ns0:v>66</ns0:v>
      </ns0:c>
      <ns0:c r="D9" s="91" t="s">
        <ns0:v>337</ns0:v>
      </ns0:c>
      <ns0:c r="E9" s="143"/>
      <ns0:c r="F9" s="91"/>
      <ns0:c r="G9" s="92"/>
      <ns0:c r="H9" s="91" t="s">
        <ns0:v>350</ns0:v>
      </ns0:c>
      <ns0:c r="I9" s="91" t="s">
        <ns0:v>351</ns0:v>
      </ns0:c>
      <ns0:c r="J9" s="91"/>
      <ns0:c r="K9" s="91"/>
      <ns0:c r="L9" s="95" t="s">
        <ns0:v>340</ns0:v>
      </ns0:c>
    </ns0:row>
    <ns0:row r="10" ht="78" customHeight="1">
      <ns0:c r="A10" s="84" t="s">
        <ns0:v>352</ns0:v>
      </ns0:c>
      <ns0:c r="B10" s="85" t="s">
        <ns0:v>353</ns0:v>
      </ns0:c>
      <ns0:c r="C10" s="85" t="s">
        <ns0:v>66</ns0:v>
      </ns0:c>
      <ns0:c r="D10" s="85" t="s">
        <ns0:v>337</ns0:v>
      </ns0:c>
      <ns0:c r="E10" s="145"/>
      <ns0:c r="F10" s="85"/>
      <ns0:c r="G10" s="86"/>
      <ns0:c r="H10" s="85" t="s">
        <ns0:v>354</ns0:v>
      </ns0:c>
      <ns0:c r="I10" s="85" t="s">
        <ns0:v>355</ns0:v>
      </ns0:c>
      <ns0:c r="J10" s="85"/>
      <ns0:c r="K10" s="85"/>
      <ns0:c r="L10" s="89" t="s">
        <ns0:v>356</ns0:v>
      </ns0:c>
    </ns0:row>
    <ns0:row r="11">
      <ns0:c r="A11" s="4"/>
      <ns0:c r="B11" s="4"/>
      <ns0:c r="C11" s="4"/>
      <ns0:c r="D11" s="4"/>
      <ns0:c r="E11" s="4"/>
      <ns0:c r="F11" s="4"/>
      <ns0:c r="G11" s="20"/>
      <ns0:c r="H11" s="4"/>
      <ns0:c r="I11" s="4"/>
      <ns0:c r="J11" s="4"/>
      <ns0:c r="K11" s="4"/>
      <ns0:c r="L11" s="4"/>
    </ns0:row>
    <ns0:row r="12">
      <ns0:c r="A12" s="4"/>
      <ns0:c r="B12" s="4"/>
      <ns0:c r="C12" s="4"/>
      <ns0:c r="D12" s="4"/>
      <ns0:c r="E12" s="4"/>
      <ns0:c r="F12" s="4"/>
      <ns0:c r="G12" s="20"/>
      <ns0:c r="H12" s="4"/>
      <ns0:c r="I12" s="4"/>
      <ns0:c r="J12" s="4"/>
      <ns0:c r="K12" s="4"/>
      <ns0:c r="L12" s="4"/>
    </ns0:row>
    <ns0:row r="13">
      <ns0:c r="D13" s="21"/>
      <ns0:c r="G13" s="22"/>
    </ns0:row>
    <ns0:row r="14">
      <ns0:c r="D14" s="21"/>
      <ns0:c r="G14" s="22"/>
    </ns0:row>
    <ns0:row r="15">
      <ns0:c r="D15" s="21"/>
      <ns0:c r="G15" s="22"/>
    </ns0:row>
    <ns0:row r="16">
      <ns0:c r="D16" s="21"/>
      <ns0:c r="G16" s="22"/>
    </ns0:row>
    <ns0:row r="17">
      <ns0:c r="D17" s="21"/>
      <ns0:c r="G17" s="22"/>
    </ns0:row>
    <ns0:row r="18">
      <ns0:c r="D18" s="21"/>
      <ns0:c r="G18" s="22"/>
    </ns0:row>
    <ns0:row r="19">
      <ns0:c r="D19" s="21"/>
      <ns0:c r="G19" s="22"/>
    </ns0:row>
    <ns0:row r="20">
      <ns0:c r="D20" s="21"/>
      <ns0:c r="G20" s="22"/>
    </ns0:row>
    <ns0:row r="21" ht="15.75" customHeight="1">
      <ns0:c r="D21" s="21"/>
      <ns0:c r="G21" s="22"/>
    </ns0:row>
    <ns0:row r="22" ht="15.75" customHeight="1">
      <ns0:c r="D22" s="21"/>
      <ns0:c r="G22" s="22"/>
    </ns0:row>
    <ns0:row r="23" ht="15.75" customHeight="1">
      <ns0:c r="D23" s="21"/>
      <ns0:c r="G23" s="22"/>
    </ns0:row>
    <ns0:row r="24" ht="15.75" customHeight="1">
      <ns0:c r="D24" s="21"/>
      <ns0:c r="G24" s="22"/>
    </ns0:row>
    <ns0:row r="25" ht="15.75" customHeight="1">
      <ns0:c r="D25" s="21"/>
      <ns0:c r="G25" s="22"/>
    </ns0:row>
    <ns0:row r="26" ht="15.75" customHeight="1">
      <ns0:c r="D26" s="21"/>
      <ns0:c r="G26" s="22"/>
    </ns0:row>
    <ns0:row r="27" ht="15.75" customHeight="1">
      <ns0:c r="D27" s="21"/>
      <ns0:c r="G27" s="22"/>
    </ns0:row>
    <ns0:row r="28" ht="15.75" customHeight="1">
      <ns0:c r="D28" s="21"/>
      <ns0:c r="G28" s="22"/>
    </ns0:row>
    <ns0:row r="29" ht="15.75" customHeight="1">
      <ns0:c r="D29" s="21"/>
      <ns0:c r="G29" s="22"/>
    </ns0:row>
    <ns0:row r="30" ht="15.75" customHeight="1">
      <ns0:c r="D30" s="21"/>
      <ns0:c r="G30" s="22"/>
    </ns0:row>
    <ns0:row r="31" ht="15.75" customHeight="1">
      <ns0:c r="D31" s="21"/>
      <ns0:c r="G31" s="22"/>
    </ns0:row>
    <ns0:row r="32" ht="15.75" customHeight="1">
      <ns0:c r="D32" s="21"/>
      <ns0:c r="G32" s="22"/>
    </ns0:row>
    <ns0:row r="33" ht="15.75" customHeight="1">
      <ns0:c r="D33" s="21"/>
      <ns0:c r="G33" s="22"/>
    </ns0:row>
    <ns0:row r="34" ht="15.75" customHeight="1">
      <ns0:c r="D34" s="21"/>
      <ns0:c r="G34" s="22"/>
    </ns0:row>
    <ns0:row r="35" ht="15.75" customHeight="1">
      <ns0:c r="D35" s="21"/>
      <ns0:c r="G35" s="22"/>
    </ns0:row>
    <ns0:row r="36" ht="15.75" customHeight="1">
      <ns0:c r="D36" s="21"/>
      <ns0:c r="G36" s="22"/>
    </ns0:row>
    <ns0:row r="37" ht="15.75" customHeight="1">
      <ns0:c r="D37" s="21"/>
      <ns0:c r="G37" s="22"/>
    </ns0:row>
    <ns0:row r="38" ht="15.75" customHeight="1">
      <ns0:c r="D38" s="21"/>
      <ns0:c r="G38" s="22"/>
    </ns0:row>
    <ns0:row r="39" ht="15.75" customHeight="1">
      <ns0:c r="D39" s="21"/>
      <ns0:c r="G39" s="22"/>
    </ns0:row>
    <ns0:row r="40" ht="15.75" customHeight="1">
      <ns0:c r="D40" s="21"/>
      <ns0:c r="G40" s="22"/>
    </ns0:row>
    <ns0:row r="41" ht="15.75" customHeight="1">
      <ns0:c r="D41" s="21"/>
      <ns0:c r="G41" s="22"/>
    </ns0:row>
    <ns0:row r="42" ht="15.75" customHeight="1">
      <ns0:c r="D42" s="21"/>
      <ns0:c r="G42" s="22"/>
    </ns0:row>
    <ns0:row r="43" ht="15.75" customHeight="1">
      <ns0:c r="D43" s="21"/>
      <ns0:c r="G43" s="22"/>
    </ns0:row>
    <ns0:row r="44" ht="15.75" customHeight="1">
      <ns0:c r="D44" s="21"/>
      <ns0:c r="G44" s="22"/>
    </ns0:row>
    <ns0:row r="45" ht="15.75" customHeight="1">
      <ns0:c r="D45" s="21"/>
      <ns0:c r="G45" s="22"/>
    </ns0:row>
    <ns0:row r="46" ht="15.75" customHeight="1">
      <ns0:c r="D46" s="21"/>
      <ns0:c r="G46" s="22"/>
    </ns0:row>
    <ns0:row r="47" ht="15.75" customHeight="1">
      <ns0:c r="D47" s="21"/>
      <ns0:c r="G47" s="22"/>
    </ns0:row>
    <ns0:row r="48" ht="15.75" customHeight="1">
      <ns0:c r="D48" s="21"/>
      <ns0:c r="G48" s="22"/>
    </ns0:row>
    <ns0:row r="49" ht="15.75" customHeight="1">
      <ns0:c r="D49" s="21"/>
      <ns0:c r="G49" s="22"/>
    </ns0:row>
    <ns0:row r="50" ht="15.75" customHeight="1">
      <ns0:c r="D50" s="21"/>
      <ns0:c r="G50" s="22"/>
    </ns0:row>
    <ns0:row r="51" ht="15.75" customHeight="1">
      <ns0:c r="D51" s="21"/>
      <ns0:c r="G51" s="22"/>
    </ns0:row>
    <ns0:row r="52" ht="15.75" customHeight="1">
      <ns0:c r="D52" s="21"/>
      <ns0:c r="G52" s="22"/>
    </ns0:row>
    <ns0:row r="53" ht="15.75" customHeight="1">
      <ns0:c r="D53" s="21"/>
      <ns0:c r="G53" s="22"/>
    </ns0:row>
    <ns0:row r="54" ht="15.75" customHeight="1">
      <ns0:c r="D54" s="21"/>
      <ns0:c r="G54" s="22"/>
    </ns0:row>
    <ns0:row r="55" ht="15.75" customHeight="1">
      <ns0:c r="D55" s="21"/>
      <ns0:c r="G55" s="22"/>
    </ns0:row>
    <ns0:row r="56" ht="15.75" customHeight="1">
      <ns0:c r="D56" s="21"/>
      <ns0:c r="G56" s="22"/>
    </ns0:row>
    <ns0:row r="57" ht="15.75" customHeight="1">
      <ns0:c r="D57" s="21"/>
      <ns0:c r="G57" s="22"/>
    </ns0:row>
    <ns0:row r="58" ht="15.75" customHeight="1">
      <ns0:c r="D58" s="21"/>
      <ns0:c r="G58" s="22"/>
    </ns0:row>
    <ns0:row r="59" ht="15.75" customHeight="1">
      <ns0:c r="D59" s="21"/>
      <ns0:c r="G59" s="22"/>
    </ns0:row>
    <ns0:row r="60" ht="15.75" customHeight="1">
      <ns0:c r="D60" s="21"/>
      <ns0:c r="G60" s="22"/>
    </ns0:row>
    <ns0:row r="61" ht="15.75" customHeight="1">
      <ns0:c r="D61" s="21"/>
      <ns0:c r="G61" s="22"/>
    </ns0:row>
    <ns0:row r="62" ht="15.75" customHeight="1">
      <ns0:c r="D62" s="21"/>
      <ns0:c r="G62" s="22"/>
    </ns0:row>
    <ns0:row r="63" ht="15.75" customHeight="1">
      <ns0:c r="D63" s="21"/>
      <ns0:c r="G63" s="22"/>
    </ns0:row>
    <ns0:row r="64" ht="15.75" customHeight="1">
      <ns0:c r="D64" s="21"/>
      <ns0:c r="G64" s="22"/>
    </ns0:row>
    <ns0:row r="65" ht="15.75" customHeight="1">
      <ns0:c r="D65" s="21"/>
      <ns0:c r="G65" s="22"/>
    </ns0:row>
    <ns0:row r="66" ht="15.75" customHeight="1">
      <ns0:c r="D66" s="21"/>
      <ns0:c r="G66" s="22"/>
    </ns0:row>
    <ns0:row r="67" ht="15.75" customHeight="1">
      <ns0:c r="D67" s="21"/>
      <ns0:c r="G67" s="22"/>
    </ns0:row>
    <ns0:row r="68" ht="15.75" customHeight="1">
      <ns0:c r="D68" s="21"/>
      <ns0:c r="G68" s="22"/>
    </ns0:row>
    <ns0:row r="69" ht="15.75" customHeight="1">
      <ns0:c r="D69" s="21"/>
      <ns0:c r="G69" s="22"/>
    </ns0:row>
    <ns0:row r="70" ht="15.75" customHeight="1">
      <ns0:c r="D70" s="21"/>
      <ns0:c r="G70" s="22"/>
    </ns0:row>
    <ns0:row r="71" ht="15.75" customHeight="1">
      <ns0:c r="D71" s="21"/>
      <ns0:c r="G71" s="22"/>
    </ns0:row>
    <ns0:row r="72" ht="15.75" customHeight="1">
      <ns0:c r="D72" s="21"/>
      <ns0:c r="G72" s="22"/>
    </ns0:row>
    <ns0:row r="73" ht="15.75" customHeight="1">
      <ns0:c r="D73" s="21"/>
      <ns0:c r="G73" s="22"/>
    </ns0:row>
    <ns0:row r="74" ht="15.75" customHeight="1">
      <ns0:c r="D74" s="21"/>
      <ns0:c r="G74" s="22"/>
    </ns0:row>
    <ns0:row r="75" ht="15.75" customHeight="1">
      <ns0:c r="D75" s="21"/>
      <ns0:c r="G75" s="22"/>
    </ns0:row>
    <ns0:row r="76" ht="15.75" customHeight="1">
      <ns0:c r="D76" s="21"/>
      <ns0:c r="G76" s="22"/>
    </ns0:row>
    <ns0:row r="77" ht="15.75" customHeight="1">
      <ns0:c r="D77" s="21"/>
      <ns0:c r="G77" s="22"/>
    </ns0:row>
    <ns0:row r="78" ht="15.75" customHeight="1">
      <ns0:c r="D78" s="21"/>
      <ns0:c r="G78" s="22"/>
    </ns0:row>
    <ns0:row r="79" ht="15.75" customHeight="1">
      <ns0:c r="D79" s="21"/>
      <ns0:c r="G79" s="22"/>
    </ns0:row>
    <ns0:row r="80" ht="15.75" customHeight="1">
      <ns0:c r="D80" s="21"/>
      <ns0:c r="G80" s="22"/>
    </ns0:row>
    <ns0:row r="81" ht="15.75" customHeight="1">
      <ns0:c r="D81" s="21"/>
      <ns0:c r="G81" s="22"/>
    </ns0:row>
    <ns0:row r="82" ht="15.75" customHeight="1">
      <ns0:c r="D82" s="21"/>
      <ns0:c r="G82" s="22"/>
    </ns0:row>
    <ns0:row r="83" ht="15.75" customHeight="1">
      <ns0:c r="D83" s="21"/>
      <ns0:c r="G83" s="22"/>
    </ns0:row>
    <ns0:row r="84" ht="15.75" customHeight="1">
      <ns0:c r="D84" s="21"/>
      <ns0:c r="G84" s="22"/>
    </ns0:row>
    <ns0:row r="85" ht="15.75" customHeight="1">
      <ns0:c r="D85" s="21"/>
      <ns0:c r="G85" s="22"/>
    </ns0:row>
    <ns0:row r="86" ht="15.75" customHeight="1">
      <ns0:c r="D86" s="21"/>
      <ns0:c r="G86" s="22"/>
    </ns0:row>
    <ns0:row r="87" ht="15.75" customHeight="1">
      <ns0:c r="D87" s="21"/>
      <ns0:c r="G87" s="22"/>
    </ns0:row>
    <ns0:row r="88" ht="15.75" customHeight="1">
      <ns0:c r="D88" s="21"/>
      <ns0:c r="G88" s="22"/>
    </ns0:row>
    <ns0:row r="89" ht="15.75" customHeight="1">
      <ns0:c r="D89" s="21"/>
      <ns0:c r="G89" s="22"/>
    </ns0:row>
    <ns0:row r="90" ht="15.75" customHeight="1">
      <ns0:c r="D90" s="21"/>
      <ns0:c r="G90" s="22"/>
    </ns0:row>
    <ns0:row r="91" ht="15.75" customHeight="1">
      <ns0:c r="D91" s="21"/>
      <ns0:c r="G91" s="22"/>
    </ns0:row>
    <ns0:row r="92" ht="15.75" customHeight="1">
      <ns0:c r="D92" s="21"/>
      <ns0:c r="G92" s="22"/>
    </ns0:row>
    <ns0:row r="93" ht="15.75" customHeight="1">
      <ns0:c r="D93" s="21"/>
      <ns0:c r="G93" s="22"/>
    </ns0:row>
    <ns0:row r="94" ht="15.75" customHeight="1">
      <ns0:c r="D94" s="21"/>
      <ns0:c r="G94" s="22"/>
    </ns0:row>
    <ns0:row r="95" ht="15.75" customHeight="1">
      <ns0:c r="D95" s="21"/>
      <ns0:c r="G95" s="22"/>
    </ns0:row>
    <ns0:row r="96" ht="15.75" customHeight="1">
      <ns0:c r="D96" s="21"/>
      <ns0:c r="G96" s="22"/>
    </ns0:row>
    <ns0:row r="97" ht="15.75" customHeight="1">
      <ns0:c r="D97" s="21"/>
      <ns0:c r="G97" s="22"/>
    </ns0:row>
    <ns0:row r="98" ht="15.75" customHeight="1">
      <ns0:c r="D98" s="21"/>
      <ns0:c r="G98" s="22"/>
    </ns0:row>
    <ns0:row r="99" ht="15.75" customHeight="1">
      <ns0:c r="D99" s="21"/>
      <ns0:c r="G99" s="22"/>
    </ns0:row>
    <ns0:row r="100" ht="15.75" customHeight="1">
      <ns0:c r="D100" s="21"/>
      <ns0:c r="G100" s="22"/>
    </ns0:row>
    <ns0:row r="101" ht="15.75" customHeight="1">
      <ns0:c r="D101" s="21"/>
      <ns0:c r="G101" s="22"/>
    </ns0:row>
    <ns0:row r="102" ht="15.75" customHeight="1">
      <ns0:c r="D102" s="21"/>
      <ns0:c r="G102" s="22"/>
    </ns0:row>
    <ns0:row r="103" ht="15.75" customHeight="1">
      <ns0:c r="D103" s="21"/>
      <ns0:c r="G103" s="22"/>
    </ns0:row>
    <ns0:row r="104" ht="15.75" customHeight="1">
      <ns0:c r="D104" s="21"/>
      <ns0:c r="G104" s="22"/>
    </ns0:row>
    <ns0:row r="105" ht="15.75" customHeight="1"/>
    <ns0:row r="106" ht="15.75" customHeight="1"/>
    <ns0:row r="107" ht="15.75" customHeight="1"/>
    <ns0:row r="108" ht="15.75" customHeight="1"/>
    <ns0:row r="109" ht="15.75" customHeight="1"/>
    <ns0:row r="110" ht="15.75" customHeight="1"/>
    <ns0:row r="111" ht="15.75" customHeight="1"/>
    <ns0:row r="112" ht="15.75" customHeight="1"/>
    <ns0:row r="113" ht="15.75" customHeight="1"/>
    <ns0:row r="114" ht="15.75" customHeight="1"/>
    <ns0:row r="115" ht="15.75" customHeight="1"/>
    <ns0:row r="116" ht="15.75" customHeight="1"/>
    <ns0:row r="117" ht="15.75" customHeight="1"/>
    <ns0:row r="118" ht="15.75" customHeight="1"/>
    <ns0:row r="119" ht="15.75" customHeight="1"/>
    <ns0:row r="120" ht="15.75" customHeight="1"/>
    <ns0:row r="121" ht="15.75" customHeight="1"/>
    <ns0:row r="122" ht="15.75" customHeight="1"/>
    <ns0:row r="123" ht="15.75" customHeight="1"/>
    <ns0:row r="124" ht="15.75" customHeight="1"/>
    <ns0:row r="125" ht="15.75" customHeight="1"/>
    <ns0:row r="126" ht="15.75" customHeight="1"/>
    <ns0:row r="127" ht="15.75" customHeight="1"/>
    <ns0:row r="128" ht="15.75" customHeight="1"/>
    <ns0:row r="129" ht="15.75" customHeight="1"/>
    <ns0:row r="130" ht="15.75" customHeight="1"/>
    <ns0:row r="131" ht="15.75" customHeight="1"/>
    <ns0:row r="132" ht="15.75" customHeight="1"/>
    <ns0:row r="133" ht="15.75" customHeight="1"/>
    <ns0:row r="134" ht="15.75" customHeight="1"/>
    <ns0:row r="135" ht="15.75" customHeight="1"/>
    <ns0:row r="136" ht="15.75" customHeight="1"/>
    <ns0:row r="137" ht="15.75" customHeight="1"/>
    <ns0:row r="138" ht="15.75" customHeight="1"/>
    <ns0:row r="139" ht="15.75" customHeight="1"/>
    <ns0:row r="140" ht="15.75" customHeight="1"/>
    <ns0:row r="141" ht="15.75" customHeight="1"/>
    <ns0:row r="142" ht="15.75" customHeight="1"/>
    <ns0:row r="143" ht="15.75" customHeight="1"/>
    <ns0:row r="144" ht="15.75" customHeight="1"/>
    <ns0:row r="145" ht="15.75" customHeight="1"/>
    <ns0:row r="146" ht="15.75" customHeight="1"/>
    <ns0:row r="147" ht="15.75" customHeight="1"/>
    <ns0:row r="148" ht="15.75" customHeight="1"/>
    <ns0:row r="149" ht="15.75" customHeight="1"/>
    <ns0:row r="150" ht="15.75" customHeight="1"/>
    <ns0:row r="151" ht="15.75" customHeight="1"/>
    <ns0:row r="152" ht="15.75" customHeight="1"/>
    <ns0:row r="153" ht="15.75" customHeight="1"/>
    <ns0:row r="154" ht="15.75" customHeight="1"/>
    <ns0:row r="155" ht="15.75" customHeight="1"/>
    <ns0:row r="156" ht="15.75" customHeight="1"/>
    <ns0:row r="157" ht="15.75" customHeight="1"/>
    <ns0:row r="158" ht="15.75" customHeight="1"/>
    <ns0:row r="159" ht="15.75" customHeight="1"/>
    <ns0:row r="160" ht="15.75" customHeight="1"/>
    <ns0:row r="161" ht="15.75" customHeight="1"/>
    <ns0:row r="162" ht="15.75" customHeight="1"/>
    <ns0:row r="163" ht="15.75" customHeight="1"/>
    <ns0:row r="164" ht="15.75" customHeight="1"/>
    <ns0:row r="165" ht="15.75" customHeight="1"/>
    <ns0:row r="166" ht="15.75" customHeight="1"/>
    <ns0:row r="167" ht="15.75" customHeight="1"/>
    <ns0:row r="168" ht="15.75" customHeight="1"/>
    <ns0:row r="169" ht="15.75" customHeight="1"/>
    <ns0:row r="170" ht="15.75" customHeight="1"/>
    <ns0:row r="171" ht="15.75" customHeight="1"/>
    <ns0:row r="172" ht="15.75" customHeight="1"/>
    <ns0:row r="173" ht="15.75" customHeight="1"/>
    <ns0:row r="174" ht="15.75" customHeight="1"/>
    <ns0:row r="175" ht="15.75" customHeight="1"/>
    <ns0:row r="176" ht="15.75" customHeight="1"/>
    <ns0:row r="177" ht="15.75" customHeight="1"/>
    <ns0:row r="178" ht="15.75" customHeight="1"/>
    <ns0:row r="179" ht="15.75" customHeight="1"/>
    <ns0:row r="180" ht="15.75" customHeight="1"/>
    <ns0:row r="181" ht="15.75" customHeight="1"/>
    <ns0:row r="182" ht="15.75" customHeight="1"/>
    <ns0:row r="183" ht="15.75" customHeight="1"/>
    <ns0:row r="184" ht="15.75" customHeight="1"/>
    <ns0:row r="185" ht="15.75" customHeight="1"/>
    <ns0:row r="186" ht="15.75" customHeight="1"/>
    <ns0:row r="187" ht="15.75" customHeight="1"/>
    <ns0:row r="188" ht="15.75" customHeight="1"/>
    <ns0:row r="189" ht="15.75" customHeight="1"/>
    <ns0:row r="190" ht="15.75" customHeight="1"/>
    <ns0:row r="191" ht="15.75" customHeight="1"/>
    <ns0:row r="192" ht="15.75" customHeight="1"/>
    <ns0:row r="193" ht="15.75" customHeight="1"/>
    <ns0:row r="194" ht="15.75" customHeight="1"/>
    <ns0:row r="195" ht="15.75" customHeight="1"/>
    <ns0:row r="196" ht="15.75" customHeight="1"/>
    <ns0:row r="197" ht="15.75" customHeight="1"/>
    <ns0:row r="198" ht="15.75" customHeight="1"/>
    <ns0:row r="199" ht="15.75" customHeight="1"/>
    <ns0:row r="200" ht="15.75" customHeight="1"/>
    <ns0:row r="201" ht="15.75" customHeight="1"/>
    <ns0:row r="202" ht="15.75" customHeight="1"/>
    <ns0:row r="203" ht="15.75" customHeight="1"/>
    <ns0:row r="204" ht="15.75" customHeight="1"/>
    <ns0:row r="205" ht="15.75" customHeight="1"/>
    <ns0:row r="206" ht="15.75" customHeight="1"/>
    <ns0:row r="207" ht="15.75" customHeight="1"/>
    <ns0:row r="208" ht="15.75" customHeight="1"/>
    <ns0:row r="209" ht="15.75" customHeight="1"/>
    <ns0:row r="210" ht="15.75" customHeight="1"/>
    <ns0:row r="211" ht="15.75" customHeight="1"/>
    <ns0:row r="212" ht="15.75" customHeight="1"/>
    <ns0:row r="213" ht="15.75" customHeight="1"/>
    <ns0:row r="214" ht="15.75" customHeight="1"/>
    <ns0:row r="215" ht="15.75" customHeight="1"/>
    <ns0:row r="216" ht="15.75" customHeight="1"/>
    <ns0:row r="217" ht="15.75" customHeight="1"/>
    <ns0:row r="218" ht="15.75" customHeight="1"/>
    <ns0:row r="219" ht="15.75" customHeight="1"/>
    <ns0:row r="220" ht="15.75" customHeight="1"/>
    <ns0:row r="221" ht="15.75" customHeight="1"/>
    <ns0:row r="222" ht="15.75" customHeight="1"/>
    <ns0:row r="223" ht="15.75" customHeight="1"/>
    <ns0:row r="224" ht="15.75" customHeight="1"/>
    <ns0:row r="225" ht="15.75" customHeight="1"/>
    <ns0:row r="226" ht="15.75" customHeight="1"/>
    <ns0:row r="227" ht="15.75" customHeight="1"/>
    <ns0:row r="228" ht="15.75" customHeight="1"/>
    <ns0:row r="229" ht="15.75" customHeight="1"/>
    <ns0:row r="230" ht="15.75" customHeight="1"/>
    <ns0:row r="231" ht="15.75" customHeight="1"/>
    <ns0:row r="232" ht="15.75" customHeight="1"/>
    <ns0:row r="233" ht="15.75" customHeight="1"/>
    <ns0:row r="234" ht="15.75" customHeight="1"/>
    <ns0:row r="235" ht="15.75" customHeight="1"/>
    <ns0:row r="236" ht="15.75" customHeight="1"/>
    <ns0:row r="237" ht="15.75" customHeight="1"/>
    <ns0:row r="238" ht="15.75" customHeight="1"/>
    <ns0:row r="239" ht="15.75" customHeight="1"/>
    <ns0:row r="240" ht="15.75" customHeight="1"/>
    <ns0:row r="241" ht="15.75" customHeight="1"/>
    <ns0:row r="242" ht="15.75" customHeight="1"/>
    <ns0:row r="243" ht="15.75" customHeight="1"/>
    <ns0:row r="244" ht="15.75" customHeight="1"/>
    <ns0:row r="245" ht="15.75" customHeight="1"/>
    <ns0:row r="246" ht="15.75" customHeight="1"/>
    <ns0:row r="247" ht="15.75" customHeight="1"/>
    <ns0:row r="248" ht="15.75" customHeight="1"/>
    <ns0:row r="249" ht="15.75" customHeight="1"/>
    <ns0:row r="250" ht="15.75" customHeight="1"/>
    <ns0:row r="251" ht="15.75" customHeight="1"/>
    <ns0:row r="252" ht="15.75" customHeight="1"/>
    <ns0:row r="253" ht="15.75" customHeight="1"/>
    <ns0:row r="254" ht="15.75" customHeight="1"/>
    <ns0:row r="255" ht="15.75" customHeight="1"/>
    <ns0:row r="256" ht="15.75" customHeight="1"/>
    <ns0:row r="257" ht="15.75" customHeight="1"/>
    <ns0:row r="258" ht="15.75" customHeight="1"/>
    <ns0:row r="259" ht="15.75" customHeight="1"/>
    <ns0:row r="260" ht="15.75" customHeight="1"/>
    <ns0:row r="261" ht="15.75" customHeight="1"/>
    <ns0:row r="262" ht="15.75" customHeight="1"/>
    <ns0:row r="263" ht="15.75" customHeight="1"/>
    <ns0:row r="264" ht="15.75" customHeight="1"/>
    <ns0:row r="265" ht="15.75" customHeight="1"/>
    <ns0:row r="266" ht="15.75" customHeight="1"/>
    <ns0:row r="267" ht="15.75" customHeight="1"/>
    <ns0:row r="268" ht="15.75" customHeight="1"/>
    <ns0:row r="269" ht="15.75" customHeight="1"/>
    <ns0:row r="270" ht="15.75" customHeight="1"/>
    <ns0:row r="271" ht="15.75" customHeight="1"/>
    <ns0:row r="272" ht="15.75" customHeight="1"/>
    <ns0:row r="273" ht="15.75" customHeight="1"/>
    <ns0:row r="274" ht="15.75" customHeight="1"/>
    <ns0:row r="275" ht="15.75" customHeight="1"/>
    <ns0:row r="276" ht="15.75" customHeight="1"/>
    <ns0:row r="277" ht="15.75" customHeight="1"/>
    <ns0:row r="278" ht="15.75" customHeight="1"/>
    <ns0:row r="279" ht="15.75" customHeight="1"/>
    <ns0:row r="280" ht="15.75" customHeight="1"/>
    <ns0:row r="281" ht="15.75" customHeight="1"/>
    <ns0:row r="282" ht="15.75" customHeight="1"/>
    <ns0:row r="283" ht="15.75" customHeight="1"/>
    <ns0:row r="284" ht="15.75" customHeight="1"/>
    <ns0:row r="285" ht="15.75" customHeight="1"/>
    <ns0:row r="286" ht="15.75" customHeight="1"/>
    <ns0:row r="287" ht="15.75" customHeight="1"/>
    <ns0:row r="288" ht="15.75" customHeight="1"/>
    <ns0:row r="289" ht="15.75" customHeight="1"/>
    <ns0:row r="290" ht="15.75" customHeight="1"/>
    <ns0:row r="291" ht="15.75" customHeight="1"/>
    <ns0:row r="292" ht="15.75" customHeight="1"/>
    <ns0:row r="293" ht="15.75" customHeight="1"/>
    <ns0:row r="294" ht="15.75" customHeight="1"/>
    <ns0:row r="295" ht="15.75" customHeight="1"/>
    <ns0:row r="296" ht="15.75" customHeight="1"/>
    <ns0:row r="297" ht="15.75" customHeight="1"/>
    <ns0:row r="298" ht="15.75" customHeight="1"/>
    <ns0:row r="299" ht="15.75" customHeight="1"/>
    <ns0:row r="300" ht="15.75" customHeight="1"/>
    <ns0:row r="301" ht="15.75" customHeight="1"/>
    <ns0:row r="302" ht="15.75" customHeight="1"/>
    <ns0:row r="303" ht="15.75" customHeight="1"/>
    <ns0:row r="304" ht="15.75" customHeight="1"/>
    <ns0:row r="305" ht="15.75" customHeight="1"/>
    <ns0:row r="306" ht="15.75" customHeight="1"/>
    <ns0:row r="307" ht="15.75" customHeight="1"/>
    <ns0:row r="308" ht="15.75" customHeight="1"/>
    <ns0:row r="309" ht="15.75" customHeight="1"/>
    <ns0:row r="310" ht="15.75" customHeight="1"/>
    <ns0:row r="311" ht="15.75" customHeight="1"/>
    <ns0:row r="312" ht="15.75" customHeight="1"/>
    <ns0:row r="313" ht="15.75" customHeight="1"/>
    <ns0:row r="314" ht="15.75" customHeight="1"/>
    <ns0:row r="315" ht="15.75" customHeight="1"/>
    <ns0:row r="316" ht="15.75" customHeight="1"/>
    <ns0:row r="317" ht="15.75" customHeight="1"/>
    <ns0:row r="318" ht="15.75" customHeight="1"/>
    <ns0:row r="319" ht="15.75" customHeight="1"/>
    <ns0:row r="320" ht="15.75" customHeight="1"/>
    <ns0:row r="321" ht="15.75" customHeight="1"/>
    <ns0:row r="322" ht="15.75" customHeight="1"/>
    <ns0:row r="323" ht="15.75" customHeight="1"/>
    <ns0:row r="324" ht="15.75" customHeight="1"/>
    <ns0:row r="325" ht="15.75" customHeight="1"/>
    <ns0:row r="326" ht="15.75" customHeight="1"/>
    <ns0:row r="327" ht="15.75" customHeight="1"/>
    <ns0:row r="328" ht="15.75" customHeight="1"/>
    <ns0:row r="329" ht="15.75" customHeight="1"/>
    <ns0:row r="330" ht="15.75" customHeight="1"/>
    <ns0:row r="331" ht="15.75" customHeight="1"/>
    <ns0:row r="332" ht="15.75" customHeight="1"/>
    <ns0:row r="333" ht="15.75" customHeight="1"/>
    <ns0:row r="334" ht="15.75" customHeight="1"/>
    <ns0:row r="335" ht="15.75" customHeight="1"/>
    <ns0:row r="336" ht="15.75" customHeight="1"/>
    <ns0:row r="337" ht="15.75" customHeight="1"/>
    <ns0:row r="338" ht="15.75" customHeight="1"/>
    <ns0:row r="339" ht="15.75" customHeight="1"/>
    <ns0:row r="340" ht="15.75" customHeight="1"/>
    <ns0:row r="341" ht="15.75" customHeight="1"/>
    <ns0:row r="342" ht="15.75" customHeight="1"/>
    <ns0:row r="343" ht="15.75" customHeight="1"/>
    <ns0:row r="344" ht="15.75" customHeight="1"/>
    <ns0:row r="345" ht="15.75" customHeight="1"/>
    <ns0:row r="346" ht="15.75" customHeight="1"/>
    <ns0:row r="347" ht="15.75" customHeight="1"/>
    <ns0:row r="348" ht="15.75" customHeight="1"/>
    <ns0:row r="349" ht="15.75" customHeight="1"/>
    <ns0:row r="350" ht="15.75" customHeight="1"/>
    <ns0:row r="351" ht="15.75" customHeight="1"/>
    <ns0:row r="352" ht="15.75" customHeight="1"/>
    <ns0:row r="353" ht="15.75" customHeight="1"/>
    <ns0:row r="354" ht="15.75" customHeight="1"/>
    <ns0:row r="355" ht="15.75" customHeight="1"/>
    <ns0:row r="356" ht="15.75" customHeight="1"/>
    <ns0:row r="357" ht="15.75" customHeight="1"/>
    <ns0:row r="358" ht="15.75" customHeight="1"/>
    <ns0:row r="359" ht="15.75" customHeight="1"/>
    <ns0:row r="360" ht="15.75" customHeight="1"/>
    <ns0:row r="361" ht="15.75" customHeight="1"/>
    <ns0:row r="362" ht="15.75" customHeight="1"/>
    <ns0:row r="363" ht="15.75" customHeight="1"/>
    <ns0:row r="364" ht="15.75" customHeight="1"/>
    <ns0:row r="365" ht="15.75" customHeight="1"/>
    <ns0:row r="366" ht="15.75" customHeight="1"/>
    <ns0:row r="367" ht="15.75" customHeight="1"/>
    <ns0:row r="368" ht="15.75" customHeight="1"/>
    <ns0:row r="369" ht="15.75" customHeight="1"/>
    <ns0:row r="370" ht="15.75" customHeight="1"/>
    <ns0:row r="371" ht="15.75" customHeight="1"/>
    <ns0:row r="372" ht="15.75" customHeight="1"/>
    <ns0:row r="373" ht="15.75" customHeight="1"/>
    <ns0:row r="374" ht="15.75" customHeight="1"/>
    <ns0:row r="375" ht="15.75" customHeight="1"/>
    <ns0:row r="376" ht="15.75" customHeight="1"/>
    <ns0:row r="377" ht="15.75" customHeight="1"/>
    <ns0:row r="378" ht="15.75" customHeight="1"/>
    <ns0:row r="379" ht="15.75" customHeight="1"/>
    <ns0:row r="380" ht="15.75" customHeight="1"/>
    <ns0:row r="381" ht="15.75" customHeight="1"/>
    <ns0:row r="382" ht="15.75" customHeight="1"/>
    <ns0:row r="383" ht="15.75" customHeight="1"/>
    <ns0:row r="384" ht="15.75" customHeight="1"/>
    <ns0:row r="385" ht="15.75" customHeight="1"/>
    <ns0:row r="386" ht="15.75" customHeight="1"/>
    <ns0:row r="387" ht="15.75" customHeight="1"/>
    <ns0:row r="388" ht="15.75" customHeight="1"/>
    <ns0:row r="389" ht="15.75" customHeight="1"/>
    <ns0:row r="390" ht="15.75" customHeight="1"/>
    <ns0:row r="391" ht="15.75" customHeight="1"/>
    <ns0:row r="392" ht="15.75" customHeight="1"/>
    <ns0:row r="393" ht="15.75" customHeight="1"/>
    <ns0:row r="394" ht="15.75" customHeight="1"/>
    <ns0:row r="395" ht="15.75" customHeight="1"/>
    <ns0:row r="396" ht="15.75" customHeight="1"/>
    <ns0:row r="397" ht="15.75" customHeight="1"/>
    <ns0:row r="398" ht="15.75" customHeight="1"/>
    <ns0:row r="399" ht="15.75" customHeight="1"/>
    <ns0:row r="400" ht="15.75" customHeight="1"/>
    <ns0:row r="401" ht="15.75" customHeight="1"/>
    <ns0:row r="402" ht="15.75" customHeight="1"/>
    <ns0:row r="403" ht="15.75" customHeight="1"/>
    <ns0:row r="404" ht="15.75" customHeight="1"/>
    <ns0:row r="405" ht="15.75" customHeight="1"/>
    <ns0:row r="406" ht="15.75" customHeight="1"/>
    <ns0:row r="407" ht="15.75" customHeight="1"/>
    <ns0:row r="408" ht="15.75" customHeight="1"/>
    <ns0:row r="409" ht="15.75" customHeight="1"/>
    <ns0:row r="410" ht="15.75" customHeight="1"/>
    <ns0:row r="411" ht="15.75" customHeight="1"/>
    <ns0:row r="412" ht="15.75" customHeight="1"/>
    <ns0:row r="413" ht="15.75" customHeight="1"/>
    <ns0:row r="414" ht="15.75" customHeight="1"/>
    <ns0:row r="415" ht="15.75" customHeight="1"/>
    <ns0:row r="416" ht="15.75" customHeight="1"/>
    <ns0:row r="417" ht="15.75" customHeight="1"/>
    <ns0:row r="418" ht="15.75" customHeight="1"/>
    <ns0:row r="419" ht="15.75" customHeight="1"/>
    <ns0:row r="420" ht="15.75" customHeight="1"/>
    <ns0:row r="421" ht="15.75" customHeight="1"/>
    <ns0:row r="422" ht="15.75" customHeight="1"/>
    <ns0:row r="423" ht="15.75" customHeight="1"/>
    <ns0:row r="424" ht="15.75" customHeight="1"/>
    <ns0:row r="425" ht="15.75" customHeight="1"/>
    <ns0:row r="426" ht="15.75" customHeight="1"/>
    <ns0:row r="427" ht="15.75" customHeight="1"/>
    <ns0:row r="428" ht="15.75" customHeight="1"/>
    <ns0:row r="429" ht="15.75" customHeight="1"/>
    <ns0:row r="430" ht="15.75" customHeight="1"/>
    <ns0:row r="431" ht="15.75" customHeight="1"/>
    <ns0:row r="432" ht="15.75" customHeight="1"/>
    <ns0:row r="433" ht="15.75" customHeight="1"/>
    <ns0:row r="434" ht="15.75" customHeight="1"/>
    <ns0:row r="435" ht="15.75" customHeight="1"/>
    <ns0:row r="436" ht="15.75" customHeight="1"/>
    <ns0:row r="437" ht="15.75" customHeight="1"/>
    <ns0:row r="438" ht="15.75" customHeight="1"/>
    <ns0:row r="439" ht="15.75" customHeight="1"/>
    <ns0:row r="440" ht="15.75" customHeight="1"/>
    <ns0:row r="441" ht="15.75" customHeight="1"/>
    <ns0:row r="442" ht="15.75" customHeight="1"/>
    <ns0:row r="443" ht="15.75" customHeight="1"/>
    <ns0:row r="444" ht="15.75" customHeight="1"/>
    <ns0:row r="445" ht="15.75" customHeight="1"/>
    <ns0:row r="446" ht="15.75" customHeight="1"/>
    <ns0:row r="447" ht="15.75" customHeight="1"/>
    <ns0:row r="448" ht="15.75" customHeight="1"/>
    <ns0:row r="449" ht="15.75" customHeight="1"/>
    <ns0:row r="450" ht="15.75" customHeight="1"/>
    <ns0:row r="451" ht="15.75" customHeight="1"/>
    <ns0:row r="452" ht="15.75" customHeight="1"/>
    <ns0:row r="453" ht="15.75" customHeight="1"/>
    <ns0:row r="454" ht="15.75" customHeight="1"/>
    <ns0:row r="455" ht="15.75" customHeight="1"/>
    <ns0:row r="456" ht="15.75" customHeight="1"/>
    <ns0:row r="457" ht="15.75" customHeight="1"/>
    <ns0:row r="458" ht="15.75" customHeight="1"/>
    <ns0:row r="459" ht="15.75" customHeight="1"/>
    <ns0:row r="460" ht="15.75" customHeight="1"/>
    <ns0:row r="461" ht="15.75" customHeight="1"/>
    <ns0:row r="462" ht="15.75" customHeight="1"/>
    <ns0:row r="463" ht="15.75" customHeight="1"/>
    <ns0:row r="464" ht="15.75" customHeight="1"/>
    <ns0:row r="465" ht="15.75" customHeight="1"/>
    <ns0:row r="466" ht="15.75" customHeight="1"/>
    <ns0:row r="467" ht="15.75" customHeight="1"/>
    <ns0:row r="468" ht="15.75" customHeight="1"/>
    <ns0:row r="469" ht="15.75" customHeight="1"/>
    <ns0:row r="470" ht="15.75" customHeight="1"/>
    <ns0:row r="471" ht="15.75" customHeight="1"/>
    <ns0:row r="472" ht="15.75" customHeight="1"/>
    <ns0:row r="473" ht="15.75" customHeight="1"/>
    <ns0:row r="474" ht="15.75" customHeight="1"/>
    <ns0:row r="475" ht="15.75" customHeight="1"/>
    <ns0:row r="476" ht="15.75" customHeight="1"/>
    <ns0:row r="477" ht="15.75" customHeight="1"/>
    <ns0:row r="478" ht="15.75" customHeight="1"/>
    <ns0:row r="479" ht="15.75" customHeight="1"/>
    <ns0:row r="480" ht="15.75" customHeight="1"/>
    <ns0:row r="481" ht="15.75" customHeight="1"/>
    <ns0:row r="482" ht="15.75" customHeight="1"/>
    <ns0:row r="483" ht="15.75" customHeight="1"/>
    <ns0:row r="484" ht="15.75" customHeight="1"/>
    <ns0:row r="485" ht="15.75" customHeight="1"/>
    <ns0:row r="486" ht="15.75" customHeight="1"/>
    <ns0:row r="487" ht="15.75" customHeight="1"/>
    <ns0:row r="488" ht="15.75" customHeight="1"/>
    <ns0:row r="489" ht="15.75" customHeight="1"/>
    <ns0:row r="490" ht="15.75" customHeight="1"/>
    <ns0:row r="491" ht="15.75" customHeight="1"/>
    <ns0:row r="492" ht="15.75" customHeight="1"/>
    <ns0:row r="493" ht="15.75" customHeight="1"/>
    <ns0:row r="494" ht="15.75" customHeight="1"/>
    <ns0:row r="495" ht="15.75" customHeight="1"/>
    <ns0:row r="496" ht="15.75" customHeight="1"/>
    <ns0:row r="497" ht="15.75" customHeight="1"/>
    <ns0:row r="498" ht="15.75" customHeight="1"/>
    <ns0:row r="499" ht="15.75" customHeight="1"/>
    <ns0:row r="500" ht="15.75" customHeight="1"/>
    <ns0:row r="501" ht="15.75" customHeight="1"/>
    <ns0:row r="502" ht="15.75" customHeight="1"/>
    <ns0:row r="503" ht="15.75" customHeight="1"/>
    <ns0:row r="504" ht="15.75" customHeight="1"/>
    <ns0:row r="505" ht="15.75" customHeight="1"/>
    <ns0:row r="506" ht="15.75" customHeight="1"/>
    <ns0:row r="507" ht="15.75" customHeight="1"/>
    <ns0:row r="508" ht="15.75" customHeight="1"/>
    <ns0:row r="509" ht="15.75" customHeight="1"/>
    <ns0:row r="510" ht="15.75" customHeight="1"/>
    <ns0:row r="511" ht="15.75" customHeight="1"/>
    <ns0:row r="512" ht="15.75" customHeight="1"/>
    <ns0:row r="513" ht="15.75" customHeight="1"/>
    <ns0:row r="514" ht="15.75" customHeight="1"/>
    <ns0:row r="515" ht="15.75" customHeight="1"/>
    <ns0:row r="516" ht="15.75" customHeight="1"/>
    <ns0:row r="517" ht="15.75" customHeight="1"/>
    <ns0:row r="518" ht="15.75" customHeight="1"/>
    <ns0:row r="519" ht="15.75" customHeight="1"/>
    <ns0:row r="520" ht="15.75" customHeight="1"/>
    <ns0:row r="521" ht="15.75" customHeight="1"/>
    <ns0:row r="522" ht="15.75" customHeight="1"/>
    <ns0:row r="523" ht="15.75" customHeight="1"/>
    <ns0:row r="524" ht="15.75" customHeight="1"/>
    <ns0:row r="525" ht="15.75" customHeight="1"/>
    <ns0:row r="526" ht="15.75" customHeight="1"/>
    <ns0:row r="527" ht="15.75" customHeight="1"/>
    <ns0:row r="528" ht="15.75" customHeight="1"/>
    <ns0:row r="529" ht="15.75" customHeight="1"/>
    <ns0:row r="530" ht="15.75" customHeight="1"/>
    <ns0:row r="531" ht="15.75" customHeight="1"/>
    <ns0:row r="532" ht="15.75" customHeight="1"/>
    <ns0:row r="533" ht="15.75" customHeight="1"/>
    <ns0:row r="534" ht="15.75" customHeight="1"/>
    <ns0:row r="535" ht="15.75" customHeight="1"/>
    <ns0:row r="536" ht="15.75" customHeight="1"/>
    <ns0:row r="537" ht="15.75" customHeight="1"/>
    <ns0:row r="538" ht="15.75" customHeight="1"/>
    <ns0:row r="539" ht="15.75" customHeight="1"/>
    <ns0:row r="540" ht="15.75" customHeight="1"/>
    <ns0:row r="541" ht="15.75" customHeight="1"/>
    <ns0:row r="542" ht="15.75" customHeight="1"/>
    <ns0:row r="543" ht="15.75" customHeight="1"/>
    <ns0:row r="544" ht="15.75" customHeight="1"/>
    <ns0:row r="545" ht="15.75" customHeight="1"/>
    <ns0:row r="546" ht="15.75" customHeight="1"/>
    <ns0:row r="547" ht="15.75" customHeight="1"/>
    <ns0:row r="548" ht="15.75" customHeight="1"/>
    <ns0:row r="549" ht="15.75" customHeight="1"/>
    <ns0:row r="550" ht="15.75" customHeight="1"/>
    <ns0:row r="551" ht="15.75" customHeight="1"/>
    <ns0:row r="552" ht="15.75" customHeight="1"/>
    <ns0:row r="553" ht="15.75" customHeight="1"/>
    <ns0:row r="554" ht="15.75" customHeight="1"/>
    <ns0:row r="555" ht="15.75" customHeight="1"/>
    <ns0:row r="556" ht="15.75" customHeight="1"/>
    <ns0:row r="557" ht="15.75" customHeight="1"/>
    <ns0:row r="558" ht="15.75" customHeight="1"/>
    <ns0:row r="559" ht="15.75" customHeight="1"/>
    <ns0:row r="560" ht="15.75" customHeight="1"/>
    <ns0:row r="561" ht="15.75" customHeight="1"/>
    <ns0:row r="562" ht="15.75" customHeight="1"/>
    <ns0:row r="563" ht="15.75" customHeight="1"/>
    <ns0:row r="564" ht="15.75" customHeight="1"/>
    <ns0:row r="565" ht="15.75" customHeight="1"/>
    <ns0:row r="566" ht="15.75" customHeight="1"/>
    <ns0:row r="567" ht="15.75" customHeight="1"/>
    <ns0:row r="568" ht="15.75" customHeight="1"/>
    <ns0:row r="569" ht="15.75" customHeight="1"/>
    <ns0:row r="570" ht="15.75" customHeight="1"/>
    <ns0:row r="571" ht="15.75" customHeight="1"/>
    <ns0:row r="572" ht="15.75" customHeight="1"/>
    <ns0:row r="573" ht="15.75" customHeight="1"/>
    <ns0:row r="574" ht="15.75" customHeight="1"/>
    <ns0:row r="575" ht="15.75" customHeight="1"/>
    <ns0:row r="576" ht="15.75" customHeight="1"/>
    <ns0:row r="577" ht="15.75" customHeight="1"/>
    <ns0:row r="578" ht="15.75" customHeight="1"/>
    <ns0:row r="579" ht="15.75" customHeight="1"/>
    <ns0:row r="580" ht="15.75" customHeight="1"/>
    <ns0:row r="581" ht="15.75" customHeight="1"/>
    <ns0:row r="582" ht="15.75" customHeight="1"/>
    <ns0:row r="583" ht="15.75" customHeight="1"/>
    <ns0:row r="584" ht="15.75" customHeight="1"/>
    <ns0:row r="585" ht="15.75" customHeight="1"/>
    <ns0:row r="586" ht="15.75" customHeight="1"/>
    <ns0:row r="587" ht="15.75" customHeight="1"/>
    <ns0:row r="588" ht="15.75" customHeight="1"/>
    <ns0:row r="589" ht="15.75" customHeight="1"/>
    <ns0:row r="590" ht="15.75" customHeight="1"/>
    <ns0:row r="591" ht="15.75" customHeight="1"/>
    <ns0:row r="592" ht="15.75" customHeight="1"/>
    <ns0:row r="593" ht="15.75" customHeight="1"/>
    <ns0:row r="594" ht="15.75" customHeight="1"/>
    <ns0:row r="595" ht="15.75" customHeight="1"/>
    <ns0:row r="596" ht="15.75" customHeight="1"/>
    <ns0:row r="597" ht="15.75" customHeight="1"/>
    <ns0:row r="598" ht="15.75" customHeight="1"/>
    <ns0:row r="599" ht="15.75" customHeight="1"/>
    <ns0:row r="600" ht="15.75" customHeight="1"/>
    <ns0:row r="601" ht="15.75" customHeight="1"/>
    <ns0:row r="602" ht="15.75" customHeight="1"/>
    <ns0:row r="603" ht="15.75" customHeight="1"/>
    <ns0:row r="604" ht="15.75" customHeight="1"/>
    <ns0:row r="605" ht="15.75" customHeight="1"/>
    <ns0:row r="606" ht="15.75" customHeight="1"/>
    <ns0:row r="607" ht="15.75" customHeight="1"/>
    <ns0:row r="608" ht="15.75" customHeight="1"/>
    <ns0:row r="609" ht="15.75" customHeight="1"/>
    <ns0:row r="610" ht="15.75" customHeight="1"/>
    <ns0:row r="611" ht="15.75" customHeight="1"/>
    <ns0:row r="612" ht="15.75" customHeight="1"/>
    <ns0:row r="613" ht="15.75" customHeight="1"/>
    <ns0:row r="614" ht="15.75" customHeight="1"/>
    <ns0:row r="615" ht="15.75" customHeight="1"/>
    <ns0:row r="616" ht="15.75" customHeight="1"/>
    <ns0:row r="617" ht="15.75" customHeight="1"/>
    <ns0:row r="618" ht="15.75" customHeight="1"/>
    <ns0:row r="619" ht="15.75" customHeight="1"/>
    <ns0:row r="620" ht="15.75" customHeight="1"/>
    <ns0:row r="621" ht="15.75" customHeight="1"/>
    <ns0:row r="622" ht="15.75" customHeight="1"/>
    <ns0:row r="623" ht="15.75" customHeight="1"/>
    <ns0:row r="624" ht="15.75" customHeight="1"/>
    <ns0:row r="625" ht="15.75" customHeight="1"/>
    <ns0:row r="626" ht="15.75" customHeight="1"/>
    <ns0:row r="627" ht="15.75" customHeight="1"/>
    <ns0:row r="628" ht="15.75" customHeight="1"/>
    <ns0:row r="629" ht="15.75" customHeight="1"/>
    <ns0:row r="630" ht="15.75" customHeight="1"/>
    <ns0:row r="631" ht="15.75" customHeight="1"/>
    <ns0:row r="632" ht="15.75" customHeight="1"/>
    <ns0:row r="633" ht="15.75" customHeight="1"/>
    <ns0:row r="634" ht="15.75" customHeight="1"/>
    <ns0:row r="635" ht="15.75" customHeight="1"/>
    <ns0:row r="636" ht="15.75" customHeight="1"/>
    <ns0:row r="637" ht="15.75" customHeight="1"/>
    <ns0:row r="638" ht="15.75" customHeight="1"/>
    <ns0:row r="639" ht="15.75" customHeight="1"/>
    <ns0:row r="640" ht="15.75" customHeight="1"/>
    <ns0:row r="641" ht="15.75" customHeight="1"/>
    <ns0:row r="642" ht="15.75" customHeight="1"/>
    <ns0:row r="643" ht="15.75" customHeight="1"/>
    <ns0:row r="644" ht="15.75" customHeight="1"/>
    <ns0:row r="645" ht="15.75" customHeight="1"/>
    <ns0:row r="646" ht="15.75" customHeight="1"/>
    <ns0:row r="647" ht="15.75" customHeight="1"/>
    <ns0:row r="648" ht="15.75" customHeight="1"/>
    <ns0:row r="649" ht="15.75" customHeight="1"/>
    <ns0:row r="650" ht="15.75" customHeight="1"/>
    <ns0:row r="651" ht="15.75" customHeight="1"/>
    <ns0:row r="652" ht="15.75" customHeight="1"/>
    <ns0:row r="653" ht="15.75" customHeight="1"/>
    <ns0:row r="654" ht="15.75" customHeight="1"/>
    <ns0:row r="655" ht="15.75" customHeight="1"/>
    <ns0:row r="656" ht="15.75" customHeight="1"/>
    <ns0:row r="657" ht="15.75" customHeight="1"/>
    <ns0:row r="658" ht="15.75" customHeight="1"/>
    <ns0:row r="659" ht="15.75" customHeight="1"/>
    <ns0:row r="660" ht="15.75" customHeight="1"/>
    <ns0:row r="661" ht="15.75" customHeight="1"/>
    <ns0:row r="662" ht="15.75" customHeight="1"/>
    <ns0:row r="663" ht="15.75" customHeight="1"/>
    <ns0:row r="664" ht="15.75" customHeight="1"/>
    <ns0:row r="665" ht="15.75" customHeight="1"/>
    <ns0:row r="666" ht="15.75" customHeight="1"/>
    <ns0:row r="667" ht="15.75" customHeight="1"/>
    <ns0:row r="668" ht="15.75" customHeight="1"/>
    <ns0:row r="669" ht="15.75" customHeight="1"/>
    <ns0:row r="670" ht="15.75" customHeight="1"/>
    <ns0:row r="671" ht="15.75" customHeight="1"/>
    <ns0:row r="672" ht="15.75" customHeight="1"/>
    <ns0:row r="673" ht="15.75" customHeight="1"/>
    <ns0:row r="674" ht="15.75" customHeight="1"/>
    <ns0:row r="675" ht="15.75" customHeight="1"/>
    <ns0:row r="676" ht="15.75" customHeight="1"/>
    <ns0:row r="677" ht="15.75" customHeight="1"/>
    <ns0:row r="678" ht="15.75" customHeight="1"/>
    <ns0:row r="679" ht="15.75" customHeight="1"/>
    <ns0:row r="680" ht="15.75" customHeight="1"/>
    <ns0:row r="681" ht="15.75" customHeight="1"/>
    <ns0:row r="682" ht="15.75" customHeight="1"/>
    <ns0:row r="683" ht="15.75" customHeight="1"/>
    <ns0:row r="684" ht="15.75" customHeight="1"/>
    <ns0:row r="685" ht="15.75" customHeight="1"/>
    <ns0:row r="686" ht="15.75" customHeight="1"/>
    <ns0:row r="687" ht="15.75" customHeight="1"/>
    <ns0:row r="688" ht="15.75" customHeight="1"/>
    <ns0:row r="689" ht="15.75" customHeight="1"/>
    <ns0:row r="690" ht="15.75" customHeight="1"/>
    <ns0:row r="691" ht="15.75" customHeight="1"/>
    <ns0:row r="692" ht="15.75" customHeight="1"/>
    <ns0:row r="693" ht="15.75" customHeight="1"/>
    <ns0:row r="694" ht="15.75" customHeight="1"/>
    <ns0:row r="695" ht="15.75" customHeight="1"/>
    <ns0:row r="696" ht="15.75" customHeight="1"/>
    <ns0:row r="697" ht="15.75" customHeight="1"/>
    <ns0:row r="698" ht="15.75" customHeight="1"/>
    <ns0:row r="699" ht="15.75" customHeight="1"/>
    <ns0:row r="700" ht="15.75" customHeight="1"/>
    <ns0:row r="701" ht="15.75" customHeight="1"/>
    <ns0:row r="702" ht="15.75" customHeight="1"/>
    <ns0:row r="703" ht="15.75" customHeight="1"/>
    <ns0:row r="704" ht="15.75" customHeight="1"/>
    <ns0:row r="705" ht="15.75" customHeight="1"/>
    <ns0:row r="706" ht="15.75" customHeight="1"/>
    <ns0:row r="707" ht="15.75" customHeight="1"/>
    <ns0:row r="708" ht="15.75" customHeight="1"/>
    <ns0:row r="709" ht="15.75" customHeight="1"/>
    <ns0:row r="710" ht="15.75" customHeight="1"/>
    <ns0:row r="711" ht="15.75" customHeight="1"/>
    <ns0:row r="712" ht="15.75" customHeight="1"/>
    <ns0:row r="713" ht="15.75" customHeight="1"/>
    <ns0:row r="714" ht="15.75" customHeight="1"/>
    <ns0:row r="715" ht="15.75" customHeight="1"/>
    <ns0:row r="716" ht="15.75" customHeight="1"/>
    <ns0:row r="717" ht="15.75" customHeight="1"/>
    <ns0:row r="718" ht="15.75" customHeight="1"/>
    <ns0:row r="719" ht="15.75" customHeight="1"/>
    <ns0:row r="720" ht="15.75" customHeight="1"/>
    <ns0:row r="721" ht="15.75" customHeight="1"/>
    <ns0:row r="722" ht="15.75" customHeight="1"/>
    <ns0:row r="723" ht="15.75" customHeight="1"/>
    <ns0:row r="724" ht="15.75" customHeight="1"/>
    <ns0:row r="725" ht="15.75" customHeight="1"/>
    <ns0:row r="726" ht="15.75" customHeight="1"/>
    <ns0:row r="727" ht="15.75" customHeight="1"/>
    <ns0:row r="728" ht="15.75" customHeight="1"/>
    <ns0:row r="729" ht="15.75" customHeight="1"/>
    <ns0:row r="730" ht="15.75" customHeight="1"/>
    <ns0:row r="731" ht="15.75" customHeight="1"/>
    <ns0:row r="732" ht="15.75" customHeight="1"/>
    <ns0:row r="733" ht="15.75" customHeight="1"/>
    <ns0:row r="734" ht="15.75" customHeight="1"/>
    <ns0:row r="735" ht="15.75" customHeight="1"/>
    <ns0:row r="736" ht="15.75" customHeight="1"/>
    <ns0:row r="737" ht="15.75" customHeight="1"/>
    <ns0:row r="738" ht="15.75" customHeight="1"/>
    <ns0:row r="739" ht="15.75" customHeight="1"/>
    <ns0:row r="740" ht="15.75" customHeight="1"/>
    <ns0:row r="741" ht="15.75" customHeight="1"/>
    <ns0:row r="742" ht="15.75" customHeight="1"/>
    <ns0:row r="743" ht="15.75" customHeight="1"/>
    <ns0:row r="744" ht="15.75" customHeight="1"/>
    <ns0:row r="745" ht="15.75" customHeight="1"/>
    <ns0:row r="746" ht="15.75" customHeight="1"/>
    <ns0:row r="747" ht="15.75" customHeight="1"/>
    <ns0:row r="748" ht="15.75" customHeight="1"/>
    <ns0:row r="749" ht="15.75" customHeight="1"/>
    <ns0:row r="750" ht="15.75" customHeight="1"/>
    <ns0:row r="751" ht="15.75" customHeight="1"/>
    <ns0:row r="752" ht="15.75" customHeight="1"/>
    <ns0:row r="753" ht="15.75" customHeight="1"/>
    <ns0:row r="754" ht="15.75" customHeight="1"/>
    <ns0:row r="755" ht="15.75" customHeight="1"/>
    <ns0:row r="756" ht="15.75" customHeight="1"/>
    <ns0:row r="757" ht="15.75" customHeight="1"/>
    <ns0:row r="758" ht="15.75" customHeight="1"/>
    <ns0:row r="759" ht="15.75" customHeight="1"/>
    <ns0:row r="760" ht="15.75" customHeight="1"/>
    <ns0:row r="761" ht="15.75" customHeight="1"/>
    <ns0:row r="762" ht="15.75" customHeight="1"/>
    <ns0:row r="763" ht="15.75" customHeight="1"/>
    <ns0:row r="764" ht="15.75" customHeight="1"/>
    <ns0:row r="765" ht="15.75" customHeight="1"/>
    <ns0:row r="766" ht="15.75" customHeight="1"/>
    <ns0:row r="767" ht="15.75" customHeight="1"/>
    <ns0:row r="768" ht="15.75" customHeight="1"/>
    <ns0:row r="769" ht="15.75" customHeight="1"/>
    <ns0:row r="770" ht="15.75" customHeight="1"/>
    <ns0:row r="771" ht="15.75" customHeight="1"/>
    <ns0:row r="772" ht="15.75" customHeight="1"/>
    <ns0:row r="773" ht="15.75" customHeight="1"/>
    <ns0:row r="774" ht="15.75" customHeight="1"/>
    <ns0:row r="775" ht="15.75" customHeight="1"/>
    <ns0:row r="776" ht="15.75" customHeight="1"/>
    <ns0:row r="777" ht="15.75" customHeight="1"/>
    <ns0:row r="778" ht="15.75" customHeight="1"/>
    <ns0:row r="779" ht="15.75" customHeight="1"/>
    <ns0:row r="780" ht="15.75" customHeight="1"/>
    <ns0:row r="781" ht="15.75" customHeight="1"/>
    <ns0:row r="782" ht="15.75" customHeight="1"/>
    <ns0:row r="783" ht="15.75" customHeight="1"/>
    <ns0:row r="784" ht="15.75" customHeight="1"/>
    <ns0:row r="785" ht="15.75" customHeight="1"/>
    <ns0:row r="786" ht="15.75" customHeight="1"/>
    <ns0:row r="787" ht="15.75" customHeight="1"/>
    <ns0:row r="788" ht="15.75" customHeight="1"/>
    <ns0:row r="789" ht="15.75" customHeight="1"/>
    <ns0:row r="790" ht="15.75" customHeight="1"/>
    <ns0:row r="791" ht="15.75" customHeight="1"/>
    <ns0:row r="792" ht="15.75" customHeight="1"/>
    <ns0:row r="793" ht="15.75" customHeight="1"/>
    <ns0:row r="794" ht="15.75" customHeight="1"/>
    <ns0:row r="795" ht="15.75" customHeight="1"/>
    <ns0:row r="796" ht="15.75" customHeight="1"/>
    <ns0:row r="797" ht="15.75" customHeight="1"/>
    <ns0:row r="798" ht="15.75" customHeight="1"/>
    <ns0:row r="799" ht="15.75" customHeight="1"/>
    <ns0:row r="800" ht="15.75" customHeight="1"/>
    <ns0:row r="801" ht="15.75" customHeight="1"/>
    <ns0:row r="802" ht="15.75" customHeight="1"/>
    <ns0:row r="803" ht="15.75" customHeight="1"/>
    <ns0:row r="804" ht="15.75" customHeight="1"/>
    <ns0:row r="805" ht="15.75" customHeight="1"/>
    <ns0:row r="806" ht="15.75" customHeight="1"/>
    <ns0:row r="807" ht="15.75" customHeight="1"/>
    <ns0:row r="808" ht="15.75" customHeight="1"/>
    <ns0:row r="809" ht="15.75" customHeight="1"/>
    <ns0:row r="810" ht="15.75" customHeight="1"/>
    <ns0:row r="811" ht="15.75" customHeight="1"/>
    <ns0:row r="812" ht="15.75" customHeight="1"/>
    <ns0:row r="813" ht="15.75" customHeight="1"/>
    <ns0:row r="814" ht="15.75" customHeight="1"/>
    <ns0:row r="815" ht="15.75" customHeight="1"/>
    <ns0:row r="816" ht="15.75" customHeight="1"/>
    <ns0:row r="817" ht="15.75" customHeight="1"/>
    <ns0:row r="818" ht="15.75" customHeight="1"/>
    <ns0:row r="819" ht="15.75" customHeight="1"/>
    <ns0:row r="820" ht="15.75" customHeight="1"/>
    <ns0:row r="821" ht="15.75" customHeight="1"/>
    <ns0:row r="822" ht="15.75" customHeight="1"/>
    <ns0:row r="823" ht="15.75" customHeight="1"/>
    <ns0:row r="824" ht="15.75" customHeight="1"/>
    <ns0:row r="825" ht="15.75" customHeight="1"/>
    <ns0:row r="826" ht="15.75" customHeight="1"/>
    <ns0:row r="827" ht="15.75" customHeight="1"/>
    <ns0:row r="828" ht="15.75" customHeight="1"/>
    <ns0:row r="829" ht="15.75" customHeight="1"/>
    <ns0:row r="830" ht="15.75" customHeight="1"/>
    <ns0:row r="831" ht="15.75" customHeight="1"/>
    <ns0:row r="832" ht="15.75" customHeight="1"/>
    <ns0:row r="833" ht="15.75" customHeight="1"/>
    <ns0:row r="834" ht="15.75" customHeight="1"/>
    <ns0:row r="835" ht="15.75" customHeight="1"/>
    <ns0:row r="836" ht="15.75" customHeight="1"/>
    <ns0:row r="837" ht="15.75" customHeight="1"/>
    <ns0:row r="838" ht="15.75" customHeight="1"/>
    <ns0:row r="839" ht="15.75" customHeight="1"/>
    <ns0:row r="840" ht="15.75" customHeight="1"/>
    <ns0:row r="841" ht="15.75" customHeight="1"/>
    <ns0:row r="842" ht="15.75" customHeight="1"/>
    <ns0:row r="843" ht="15.75" customHeight="1"/>
    <ns0:row r="844" ht="15.75" customHeight="1"/>
    <ns0:row r="845" ht="15.75" customHeight="1"/>
    <ns0:row r="846" ht="15.75" customHeight="1"/>
    <ns0:row r="847" ht="15.75" customHeight="1"/>
    <ns0:row r="848" ht="15.75" customHeight="1"/>
    <ns0:row r="849" ht="15.75" customHeight="1"/>
    <ns0:row r="850" ht="15.75" customHeight="1"/>
    <ns0:row r="851" ht="15.75" customHeight="1"/>
    <ns0:row r="852" ht="15.75" customHeight="1"/>
    <ns0:row r="853" ht="15.75" customHeight="1"/>
    <ns0:row r="854" ht="15.75" customHeight="1"/>
    <ns0:row r="855" ht="15.75" customHeight="1"/>
    <ns0:row r="856" ht="15.75" customHeight="1"/>
    <ns0:row r="857" ht="15.75" customHeight="1"/>
    <ns0:row r="858" ht="15.75" customHeight="1"/>
    <ns0:row r="859" ht="15.75" customHeight="1"/>
    <ns0:row r="860" ht="15.75" customHeight="1"/>
    <ns0:row r="861" ht="15.75" customHeight="1"/>
    <ns0:row r="862" ht="15.75" customHeight="1"/>
    <ns0:row r="863" ht="15.75" customHeight="1"/>
    <ns0:row r="864" ht="15.75" customHeight="1"/>
    <ns0:row r="865" ht="15.75" customHeight="1"/>
    <ns0:row r="866" ht="15.75" customHeight="1"/>
    <ns0:row r="867" ht="15.75" customHeight="1"/>
    <ns0:row r="868" ht="15.75" customHeight="1"/>
    <ns0:row r="869" ht="15.75" customHeight="1"/>
    <ns0:row r="870" ht="15.75" customHeight="1"/>
    <ns0:row r="871" ht="15.75" customHeight="1"/>
    <ns0:row r="872" ht="15.75" customHeight="1"/>
    <ns0:row r="873" ht="15.75" customHeight="1"/>
    <ns0:row r="874" ht="15.75" customHeight="1"/>
    <ns0:row r="875" ht="15.75" customHeight="1"/>
    <ns0:row r="876" ht="15.75" customHeight="1"/>
    <ns0:row r="877" ht="15.75" customHeight="1"/>
    <ns0:row r="878" ht="15.75" customHeight="1"/>
    <ns0:row r="879" ht="15.75" customHeight="1"/>
    <ns0:row r="880" ht="15.75" customHeight="1"/>
    <ns0:row r="881" ht="15.75" customHeight="1"/>
    <ns0:row r="882" ht="15.75" customHeight="1"/>
    <ns0:row r="883" ht="15.75" customHeight="1"/>
    <ns0:row r="884" ht="15.75" customHeight="1"/>
    <ns0:row r="885" ht="15.75" customHeight="1"/>
    <ns0:row r="886" ht="15.75" customHeight="1"/>
    <ns0:row r="887" ht="15.75" customHeight="1"/>
    <ns0:row r="888" ht="15.75" customHeight="1"/>
    <ns0:row r="889" ht="15.75" customHeight="1"/>
    <ns0:row r="890" ht="15.75" customHeight="1"/>
    <ns0:row r="891" ht="15.75" customHeight="1"/>
    <ns0:row r="892" ht="15.75" customHeight="1"/>
    <ns0:row r="893" ht="15.75" customHeight="1"/>
    <ns0:row r="894" ht="15.75" customHeight="1"/>
    <ns0:row r="895" ht="15.75" customHeight="1"/>
    <ns0:row r="896" ht="15.75" customHeight="1"/>
    <ns0:row r="897" ht="15.75" customHeight="1"/>
    <ns0:row r="898" ht="15.75" customHeight="1"/>
    <ns0:row r="899" ht="15.75" customHeight="1"/>
    <ns0:row r="900" ht="15.75" customHeight="1"/>
    <ns0:row r="901" ht="15.75" customHeight="1"/>
    <ns0:row r="902" ht="15.75" customHeight="1"/>
    <ns0:row r="903" ht="15.75" customHeight="1"/>
    <ns0:row r="904" ht="15.75" customHeight="1"/>
    <ns0:row r="905" ht="15.75" customHeight="1"/>
    <ns0:row r="906" ht="15.75" customHeight="1"/>
    <ns0:row r="907" ht="15.75" customHeight="1"/>
    <ns0:row r="908" ht="15.75" customHeight="1"/>
    <ns0:row r="909" ht="15.75" customHeight="1"/>
    <ns0:row r="910" ht="15.75" customHeight="1"/>
    <ns0:row r="911" ht="15.75" customHeight="1"/>
    <ns0:row r="912" ht="15.75" customHeight="1"/>
    <ns0:row r="913" ht="15.75" customHeight="1"/>
    <ns0:row r="914" ht="15.75" customHeight="1"/>
    <ns0:row r="915" ht="15.75" customHeight="1"/>
    <ns0:row r="916" ht="15.75" customHeight="1"/>
    <ns0:row r="917" ht="15.75" customHeight="1"/>
    <ns0:row r="918" ht="15.75" customHeight="1"/>
    <ns0:row r="919" ht="15.75" customHeight="1"/>
    <ns0:row r="920" ht="15.75" customHeight="1"/>
    <ns0:row r="921" ht="15.75" customHeight="1"/>
    <ns0:row r="922" ht="15.75" customHeight="1"/>
    <ns0:row r="923" ht="15.75" customHeight="1"/>
    <ns0:row r="924" ht="15.75" customHeight="1"/>
    <ns0:row r="925" ht="15.75" customHeight="1"/>
    <ns0:row r="926" ht="15.75" customHeight="1"/>
    <ns0:row r="927" ht="15.75" customHeight="1"/>
    <ns0:row r="928" ht="15.75" customHeight="1"/>
    <ns0:row r="929" ht="15.75" customHeight="1"/>
    <ns0:row r="930" ht="15.75" customHeight="1"/>
    <ns0:row r="931" ht="15.75" customHeight="1"/>
    <ns0:row r="932" ht="15.75" customHeight="1"/>
    <ns0:row r="933" ht="15.75" customHeight="1"/>
    <ns0:row r="934" ht="15.75" customHeight="1"/>
    <ns0:row r="935" ht="15.75" customHeight="1"/>
    <ns0:row r="936" ht="15.75" customHeight="1"/>
    <ns0:row r="937" ht="15.75" customHeight="1"/>
    <ns0:row r="938" ht="15.75" customHeight="1"/>
    <ns0:row r="939" ht="15.75" customHeight="1"/>
    <ns0:row r="940" ht="15.75" customHeight="1"/>
    <ns0:row r="941" ht="15.75" customHeight="1"/>
    <ns0:row r="942" ht="15.75" customHeight="1"/>
    <ns0:row r="943" ht="15.75" customHeight="1"/>
    <ns0:row r="944" ht="15.75" customHeight="1"/>
    <ns0:row r="945" ht="15.75" customHeight="1"/>
    <ns0:row r="946" ht="15.75" customHeight="1"/>
    <ns0:row r="947" ht="15.75" customHeight="1"/>
    <ns0:row r="948" ht="15.75" customHeight="1"/>
    <ns0:row r="949" ht="15.75" customHeight="1"/>
    <ns0:row r="950" ht="15.75" customHeight="1"/>
    <ns0:row r="951" ht="15.75" customHeight="1"/>
    <ns0:row r="952" ht="15.75" customHeight="1"/>
    <ns0:row r="953" ht="15.75" customHeight="1"/>
    <ns0:row r="954" ht="15.75" customHeight="1"/>
    <ns0:row r="955" ht="15.75" customHeight="1"/>
    <ns0:row r="956" ht="15.75" customHeight="1"/>
    <ns0:row r="957" ht="15.75" customHeight="1"/>
    <ns0:row r="958" ht="15.75" customHeight="1"/>
    <ns0:row r="959" ht="15.75" customHeight="1"/>
    <ns0:row r="960" ht="15.75" customHeight="1"/>
    <ns0:row r="961" ht="15.75" customHeight="1"/>
    <ns0:row r="962" ht="15.75" customHeight="1"/>
    <ns0:row r="963" ht="15.75" customHeight="1"/>
    <ns0:row r="964" ht="15.75" customHeight="1"/>
    <ns0:row r="965" ht="15.75" customHeight="1"/>
    <ns0:row r="966" ht="15.75" customHeight="1"/>
    <ns0:row r="967" ht="15.75" customHeight="1"/>
    <ns0:row r="968" ht="15.75" customHeight="1"/>
    <ns0:row r="969" ht="15.75" customHeight="1"/>
    <ns0:row r="970" ht="15.75" customHeight="1"/>
    <ns0:row r="971" ht="15.75" customHeight="1"/>
    <ns0:row r="972" ht="15.75" customHeight="1"/>
    <ns0:row r="973" ht="15.75" customHeight="1"/>
    <ns0:row r="974" ht="15.75" customHeight="1"/>
    <ns0:row r="975" ht="15.75" customHeight="1"/>
    <ns0:row r="976" ht="15.75" customHeight="1"/>
    <ns0:row r="977" ht="15.75" customHeight="1"/>
    <ns0:row r="978" ht="15.75" customHeight="1"/>
    <ns0:row r="979" ht="15.75" customHeight="1"/>
    <ns0:row r="980" ht="15.75" customHeight="1"/>
    <ns0:row r="981" ht="15.75" customHeight="1"/>
    <ns0:row r="982" ht="15.75" customHeight="1"/>
    <ns0:row r="983" ht="15.75" customHeight="1"/>
    <ns0:row r="984" ht="15.75" customHeight="1"/>
    <ns0:row r="985" ht="15.75" customHeight="1"/>
    <ns0:row r="986" ht="15.75" customHeight="1"/>
    <ns0:row r="987" ht="15.75" customHeight="1"/>
    <ns0:row r="988" ht="15.75" customHeight="1"/>
    <ns0:row r="989" ht="15.75" customHeight="1"/>
    <ns0:row r="990" ht="15.75" customHeight="1"/>
    <ns0:row r="991" ht="15.75" customHeight="1"/>
    <ns0:row r="992" ht="15.75" customHeight="1"/>
    <ns0:row r="993" ht="15.75" customHeight="1"/>
    <ns0:row r="994" ht="15.75" customHeight="1"/>
    <ns0:row r="995" ht="15.75" customHeight="1"/>
    <ns0:row r="996" ht="15.75" customHeight="1"/>
    <ns0:row r="997" ht="15.75" customHeight="1"/>
    <ns0:row r="998" ht="15.75" customHeight="1"/>
    <ns0:row r="999" ht="15.75" customHeight="1"/>
    <ns0:row r="1000" ht="15.75" customHeight="1"/>
  </ns0:sheetData>
  <ns0:conditionalFormatting sqref="D5:D104">
    <ns0:cfRule type="containsText" dxfId="22" priority="1" operator="containsText" text="Open"/>
    <ns0:cfRule type="containsText" dxfId="23" priority="2" operator="containsText" text="Not run"/>
    <ns0:cfRule type="containsText" dxfId="24" priority="3" operator="containsText" text="In progress"/>
    <ns0:cfRule type="containsText" dxfId="25" priority="4" operator="containsText" text="Retest"/>
    <ns0:cfRule type="containsText" dxfId="26" priority="5" operator="containsText" text="Closed"/>
    <ns0:cfRule type="containsText" dxfId="27" priority="6" operator="containsText" text="Pass"/>
  </ns0:conditionalFormatting>
  <ns0:dataValidations count="1">
    <ns0:dataValidation type="list" allowBlank="1" sqref="D5:D104">
      <ns0:formula1>"Not run,Open,In progress,Retest,Closed,Pass"</ns0:formula1>
    </ns0:dataValidation>
  </ns0:dataValidations>
  <ns0:pageMargins left="0.7" right="0.7" top="0.75" bottom="0.75" header="0.3" footer="0.3"/>
  <ns0:tableParts count="1">
    <ns0:tablePart ns1:id="R5753899de53a402e"/>
  </ns0:tableParts>
</ns0:worksheet>
</file>